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js\games\docs\conquest\"/>
    </mc:Choice>
  </mc:AlternateContent>
  <xr:revisionPtr revIDLastSave="0" documentId="13_ncr:1_{439928F7-5FEA-4888-835C-9BAACF369E0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3" i="1"/>
  <c r="K4" i="1"/>
  <c r="K5" i="1"/>
  <c r="K6" i="1"/>
  <c r="K7" i="1"/>
  <c r="K8" i="1"/>
  <c r="K9" i="1"/>
  <c r="K10" i="1"/>
  <c r="K11" i="1"/>
  <c r="K12" i="1"/>
  <c r="K13" i="1"/>
  <c r="K14" i="1"/>
  <c r="K2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H92" i="1" a="1"/>
  <c r="H92" i="1" s="1"/>
  <c r="H93" i="1" a="1"/>
  <c r="H93" i="1" s="1"/>
  <c r="H94" i="1" a="1"/>
  <c r="H94" i="1" s="1"/>
  <c r="H95" i="1" a="1"/>
  <c r="H95" i="1" s="1"/>
  <c r="H96" i="1" a="1"/>
  <c r="H96" i="1" s="1"/>
  <c r="H97" i="1" a="1"/>
  <c r="H97" i="1" s="1"/>
  <c r="H98" i="1" a="1"/>
  <c r="H98" i="1" s="1"/>
  <c r="H99" i="1" a="1"/>
  <c r="H99" i="1" s="1"/>
  <c r="H100" i="1" a="1"/>
  <c r="H100" i="1" s="1"/>
  <c r="H101" i="1" a="1"/>
  <c r="H101" i="1" s="1"/>
  <c r="H102" i="1" a="1"/>
  <c r="H102" i="1" s="1"/>
  <c r="H103" i="1" a="1"/>
  <c r="H103" i="1" s="1"/>
  <c r="H104" i="1" a="1"/>
  <c r="H104" i="1" s="1"/>
  <c r="H105" i="1" a="1"/>
  <c r="H105" i="1" s="1"/>
  <c r="H106" i="1" a="1"/>
  <c r="H106" i="1" s="1"/>
  <c r="H107" i="1" a="1"/>
  <c r="H107" i="1" s="1"/>
  <c r="H108" i="1" a="1"/>
  <c r="H108" i="1" s="1"/>
  <c r="H109" i="1" a="1"/>
  <c r="H109" i="1" s="1"/>
  <c r="H110" i="1" a="1"/>
  <c r="H110" i="1" s="1"/>
  <c r="H111" i="1" a="1"/>
  <c r="H111" i="1" s="1"/>
  <c r="H112" i="1" a="1"/>
  <c r="H112" i="1" s="1"/>
  <c r="H113" i="1" a="1"/>
  <c r="H113" i="1" s="1"/>
  <c r="H114" i="1" a="1"/>
  <c r="H114" i="1" s="1"/>
  <c r="H115" i="1" a="1"/>
  <c r="H115" i="1" s="1"/>
  <c r="H116" i="1" a="1"/>
  <c r="H116" i="1" s="1"/>
  <c r="H117" i="1" a="1"/>
  <c r="H117" i="1" s="1"/>
  <c r="H118" i="1" a="1"/>
  <c r="H118" i="1" s="1"/>
  <c r="H119" i="1" a="1"/>
  <c r="H119" i="1" s="1"/>
  <c r="H120" i="1" a="1"/>
  <c r="H120" i="1" s="1"/>
  <c r="H121" i="1" a="1"/>
  <c r="H121" i="1" s="1"/>
  <c r="H122" i="1" a="1"/>
  <c r="H122" i="1" s="1"/>
  <c r="H123" i="1" a="1"/>
  <c r="H123" i="1" s="1"/>
  <c r="H124" i="1" a="1"/>
  <c r="H124" i="1" s="1"/>
  <c r="H125" i="1" a="1"/>
  <c r="H125" i="1" s="1"/>
  <c r="H126" i="1" a="1"/>
  <c r="H126" i="1" s="1"/>
  <c r="H127" i="1" a="1"/>
  <c r="H127" i="1" s="1"/>
  <c r="H128" i="1" a="1"/>
  <c r="H128" i="1" s="1"/>
  <c r="H129" i="1" a="1"/>
  <c r="H129" i="1" s="1"/>
  <c r="H130" i="1" a="1"/>
  <c r="H130" i="1" s="1"/>
  <c r="H131" i="1" a="1"/>
  <c r="H131" i="1" s="1"/>
  <c r="H132" i="1" a="1"/>
  <c r="H132" i="1" s="1"/>
  <c r="H133" i="1" a="1"/>
  <c r="H133" i="1" s="1"/>
  <c r="H134" i="1" a="1"/>
  <c r="H134" i="1" s="1"/>
  <c r="H135" i="1" a="1"/>
  <c r="H135" i="1" s="1"/>
  <c r="H136" i="1" a="1"/>
  <c r="H136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 s="1"/>
  <c r="H36" i="1" a="1"/>
  <c r="H36" i="1" s="1"/>
  <c r="H37" i="1" a="1"/>
  <c r="H37" i="1" s="1"/>
  <c r="H38" i="1" a="1"/>
  <c r="H38" i="1" s="1"/>
  <c r="H39" i="1" a="1"/>
  <c r="H39" i="1" s="1"/>
  <c r="H40" i="1" a="1"/>
  <c r="H40" i="1" s="1"/>
  <c r="H41" i="1" a="1"/>
  <c r="H41" i="1" s="1"/>
  <c r="H42" i="1" a="1"/>
  <c r="H42" i="1" s="1"/>
  <c r="H43" i="1" a="1"/>
  <c r="H43" i="1" s="1"/>
  <c r="H44" i="1" a="1"/>
  <c r="H44" i="1" s="1"/>
  <c r="H45" i="1" a="1"/>
  <c r="H45" i="1" s="1"/>
  <c r="H46" i="1" a="1"/>
  <c r="H46" i="1" s="1"/>
  <c r="H47" i="1" a="1"/>
  <c r="H47" i="1" s="1"/>
  <c r="H48" i="1" a="1"/>
  <c r="H48" i="1" s="1"/>
  <c r="H49" i="1" a="1"/>
  <c r="H49" i="1" s="1"/>
  <c r="H50" i="1" a="1"/>
  <c r="H50" i="1" s="1"/>
  <c r="H51" i="1" a="1"/>
  <c r="H51" i="1" s="1"/>
  <c r="H52" i="1" a="1"/>
  <c r="H52" i="1" s="1"/>
  <c r="H53" i="1" a="1"/>
  <c r="H53" i="1" s="1"/>
  <c r="H54" i="1" a="1"/>
  <c r="H54" i="1" s="1"/>
  <c r="H55" i="1" a="1"/>
  <c r="H55" i="1" s="1"/>
  <c r="H56" i="1" a="1"/>
  <c r="H56" i="1" s="1"/>
  <c r="H57" i="1" a="1"/>
  <c r="H57" i="1" s="1"/>
  <c r="H58" i="1" a="1"/>
  <c r="H58" i="1" s="1"/>
  <c r="H59" i="1" a="1"/>
  <c r="H59" i="1" s="1"/>
  <c r="H60" i="1" a="1"/>
  <c r="H60" i="1" s="1"/>
  <c r="H61" i="1" a="1"/>
  <c r="H61" i="1" s="1"/>
  <c r="H62" i="1" a="1"/>
  <c r="H62" i="1" s="1"/>
  <c r="H63" i="1" a="1"/>
  <c r="H63" i="1" s="1"/>
  <c r="H64" i="1" a="1"/>
  <c r="H64" i="1" s="1"/>
  <c r="H65" i="1" a="1"/>
  <c r="H65" i="1" s="1"/>
  <c r="H66" i="1" a="1"/>
  <c r="H66" i="1" s="1"/>
  <c r="H67" i="1" a="1"/>
  <c r="H67" i="1" s="1"/>
  <c r="H68" i="1" a="1"/>
  <c r="H68" i="1" s="1"/>
  <c r="H69" i="1" a="1"/>
  <c r="H69" i="1" s="1"/>
  <c r="H70" i="1" a="1"/>
  <c r="H70" i="1" s="1"/>
  <c r="H71" i="1" a="1"/>
  <c r="H71" i="1" s="1"/>
  <c r="H72" i="1" a="1"/>
  <c r="H72" i="1" s="1"/>
  <c r="H73" i="1" a="1"/>
  <c r="H73" i="1" s="1"/>
  <c r="H74" i="1" a="1"/>
  <c r="H74" i="1" s="1"/>
  <c r="H75" i="1" a="1"/>
  <c r="H75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1" i="1" a="1"/>
  <c r="H81" i="1" s="1"/>
  <c r="H82" i="1" a="1"/>
  <c r="H82" i="1" s="1"/>
  <c r="H83" i="1" a="1"/>
  <c r="H83" i="1" s="1"/>
  <c r="H84" i="1" a="1"/>
  <c r="H84" i="1" s="1"/>
  <c r="H85" i="1" a="1"/>
  <c r="H85" i="1" s="1"/>
  <c r="H86" i="1" a="1"/>
  <c r="H86" i="1" s="1"/>
  <c r="H87" i="1" a="1"/>
  <c r="H87" i="1" s="1"/>
  <c r="H88" i="1" a="1"/>
  <c r="H88" i="1" s="1"/>
  <c r="H89" i="1" a="1"/>
  <c r="H89" i="1" s="1"/>
  <c r="H90" i="1" a="1"/>
  <c r="H90" i="1" s="1"/>
  <c r="H91" i="1" a="1"/>
  <c r="H91" i="1" s="1"/>
  <c r="H2" i="1" a="1"/>
  <c r="H2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G20" i="1" a="1"/>
  <c r="G33" i="1" a="1"/>
  <c r="G18" i="1" a="1"/>
  <c r="G92" i="1" a="1"/>
  <c r="G56" i="1" a="1"/>
  <c r="G48" i="1" a="1"/>
  <c r="G87" i="1" a="1"/>
  <c r="G68" i="1" a="1"/>
  <c r="G91" i="1" a="1"/>
  <c r="G36" i="1" a="1"/>
  <c r="G29" i="1" a="1"/>
  <c r="G61" i="1" a="1"/>
  <c r="G93" i="1" a="1"/>
  <c r="G100" i="1" a="1"/>
  <c r="G46" i="1" a="1"/>
  <c r="G78" i="1" a="1"/>
  <c r="G80" i="1" a="1"/>
  <c r="G39" i="1" a="1"/>
  <c r="G71" i="1" a="1"/>
  <c r="G24" i="1" a="1"/>
  <c r="G9" i="1" a="1"/>
  <c r="G97" i="1" a="1"/>
  <c r="G82" i="1" a="1"/>
  <c r="G75" i="1" a="1"/>
  <c r="G77" i="1" a="1"/>
  <c r="G55" i="1" a="1"/>
  <c r="G81" i="1" a="1"/>
  <c r="G59" i="1" a="1"/>
  <c r="G52" i="1" a="1"/>
  <c r="G30" i="1" a="1"/>
  <c r="G6" i="1" a="1"/>
  <c r="G98" i="1" a="1"/>
  <c r="G8" i="1" a="1"/>
  <c r="G2" i="1" a="1"/>
  <c r="G76" i="1" a="1"/>
  <c r="G37" i="1" a="1"/>
  <c r="G69" i="1" a="1"/>
  <c r="G101" i="1" a="1"/>
  <c r="G22" i="1" a="1"/>
  <c r="G54" i="1" a="1"/>
  <c r="G86" i="1" a="1"/>
  <c r="G64" i="1" a="1"/>
  <c r="G47" i="1" a="1"/>
  <c r="G79" i="1" a="1"/>
  <c r="G72" i="1" a="1"/>
  <c r="G3" i="1" a="1"/>
  <c r="G58" i="1" a="1"/>
  <c r="G19" i="1" a="1"/>
  <c r="G83" i="1" a="1"/>
  <c r="G45" i="1" a="1"/>
  <c r="G23" i="1" a="1"/>
  <c r="G34" i="1" a="1"/>
  <c r="G10" i="1" a="1"/>
  <c r="G96" i="1" a="1"/>
  <c r="G41" i="1" a="1"/>
  <c r="G73" i="1" a="1"/>
  <c r="G28" i="1" a="1"/>
  <c r="G26" i="1" a="1"/>
  <c r="G90" i="1" a="1"/>
  <c r="G51" i="1" a="1"/>
  <c r="G84" i="1" a="1"/>
  <c r="G15" i="1" a="1"/>
  <c r="G94" i="1" a="1"/>
  <c r="G49" i="1" a="1"/>
  <c r="G27" i="1" a="1"/>
  <c r="G44" i="1" a="1"/>
  <c r="G17" i="1" a="1"/>
  <c r="G16" i="1" a="1"/>
  <c r="G21" i="1" a="1"/>
  <c r="G53" i="1" a="1"/>
  <c r="G85" i="1" a="1"/>
  <c r="G88" i="1" a="1"/>
  <c r="G38" i="1" a="1"/>
  <c r="G70" i="1" a="1"/>
  <c r="G32" i="1" a="1"/>
  <c r="G31" i="1" a="1"/>
  <c r="G63" i="1" a="1"/>
  <c r="G95" i="1" a="1"/>
  <c r="G12" i="1" a="1"/>
  <c r="G14" i="1" a="1"/>
  <c r="G25" i="1" a="1"/>
  <c r="G57" i="1" a="1"/>
  <c r="G89" i="1" a="1"/>
  <c r="G40" i="1" a="1"/>
  <c r="G42" i="1" a="1"/>
  <c r="G74" i="1" a="1"/>
  <c r="G60" i="1" a="1"/>
  <c r="G35" i="1" a="1"/>
  <c r="G67" i="1" a="1"/>
  <c r="G99" i="1" a="1"/>
  <c r="G5" i="1" a="1"/>
  <c r="G7" i="1" a="1"/>
  <c r="G11" i="1" a="1"/>
  <c r="G65" i="1" a="1"/>
  <c r="G50" i="1" a="1"/>
  <c r="G43" i="1" a="1"/>
  <c r="G13" i="1" a="1"/>
  <c r="G62" i="1" a="1"/>
  <c r="G4" i="1" a="1"/>
  <c r="G66" i="1" a="1"/>
  <c r="G2" i="1" l="1"/>
  <c r="J2" i="1" s="1"/>
  <c r="G84" i="1"/>
  <c r="J84" i="1" s="1"/>
  <c r="G72" i="1"/>
  <c r="J72" i="1" s="1"/>
  <c r="G56" i="1"/>
  <c r="J56" i="1" s="1"/>
  <c r="G24" i="1"/>
  <c r="J24" i="1" s="1"/>
  <c r="G99" i="1"/>
  <c r="J99" i="1" s="1"/>
  <c r="G95" i="1"/>
  <c r="J95" i="1" s="1"/>
  <c r="G91" i="1"/>
  <c r="J91" i="1" s="1"/>
  <c r="G87" i="1"/>
  <c r="J87" i="1" s="1"/>
  <c r="G83" i="1"/>
  <c r="J83" i="1" s="1"/>
  <c r="G79" i="1"/>
  <c r="J79" i="1" s="1"/>
  <c r="G75" i="1"/>
  <c r="J75" i="1" s="1"/>
  <c r="G71" i="1"/>
  <c r="J71" i="1" s="1"/>
  <c r="G67" i="1"/>
  <c r="J67" i="1" s="1"/>
  <c r="G63" i="1"/>
  <c r="J63" i="1" s="1"/>
  <c r="G59" i="1"/>
  <c r="J59" i="1" s="1"/>
  <c r="G55" i="1"/>
  <c r="J55" i="1" s="1"/>
  <c r="G51" i="1"/>
  <c r="J51" i="1" s="1"/>
  <c r="G47" i="1"/>
  <c r="J47" i="1" s="1"/>
  <c r="G43" i="1"/>
  <c r="J43" i="1" s="1"/>
  <c r="G39" i="1"/>
  <c r="J39" i="1" s="1"/>
  <c r="G35" i="1"/>
  <c r="J35" i="1" s="1"/>
  <c r="G31" i="1"/>
  <c r="J31" i="1" s="1"/>
  <c r="G27" i="1"/>
  <c r="J27" i="1" s="1"/>
  <c r="G23" i="1"/>
  <c r="J23" i="1" s="1"/>
  <c r="G19" i="1"/>
  <c r="J19" i="1" s="1"/>
  <c r="G64" i="1"/>
  <c r="J64" i="1" s="1"/>
  <c r="G92" i="1"/>
  <c r="J92" i="1" s="1"/>
  <c r="G80" i="1"/>
  <c r="J80" i="1" s="1"/>
  <c r="G60" i="1"/>
  <c r="J60" i="1" s="1"/>
  <c r="G32" i="1"/>
  <c r="J32" i="1" s="1"/>
  <c r="G98" i="1"/>
  <c r="J98" i="1" s="1"/>
  <c r="G94" i="1"/>
  <c r="J94" i="1" s="1"/>
  <c r="G90" i="1"/>
  <c r="J90" i="1" s="1"/>
  <c r="G86" i="1"/>
  <c r="J86" i="1" s="1"/>
  <c r="G82" i="1"/>
  <c r="J82" i="1" s="1"/>
  <c r="G78" i="1"/>
  <c r="J78" i="1" s="1"/>
  <c r="G74" i="1"/>
  <c r="J74" i="1" s="1"/>
  <c r="G70" i="1"/>
  <c r="J70" i="1" s="1"/>
  <c r="G66" i="1"/>
  <c r="J66" i="1" s="1"/>
  <c r="G62" i="1"/>
  <c r="J62" i="1" s="1"/>
  <c r="G58" i="1"/>
  <c r="J58" i="1" s="1"/>
  <c r="G54" i="1"/>
  <c r="J54" i="1" s="1"/>
  <c r="G50" i="1"/>
  <c r="J50" i="1" s="1"/>
  <c r="G46" i="1"/>
  <c r="J46" i="1" s="1"/>
  <c r="G42" i="1"/>
  <c r="J42" i="1" s="1"/>
  <c r="G38" i="1"/>
  <c r="J38" i="1" s="1"/>
  <c r="G34" i="1"/>
  <c r="J34" i="1" s="1"/>
  <c r="G30" i="1"/>
  <c r="J30" i="1" s="1"/>
  <c r="G26" i="1"/>
  <c r="J26" i="1" s="1"/>
  <c r="G22" i="1"/>
  <c r="J22" i="1" s="1"/>
  <c r="G18" i="1"/>
  <c r="J18" i="1" s="1"/>
  <c r="G100" i="1"/>
  <c r="J100" i="1" s="1"/>
  <c r="G40" i="1"/>
  <c r="J40" i="1" s="1"/>
  <c r="G88" i="1"/>
  <c r="J88" i="1" s="1"/>
  <c r="G68" i="1"/>
  <c r="J68" i="1" s="1"/>
  <c r="G48" i="1"/>
  <c r="J48" i="1" s="1"/>
  <c r="G28" i="1"/>
  <c r="J28" i="1" s="1"/>
  <c r="G101" i="1"/>
  <c r="J101" i="1" s="1"/>
  <c r="G97" i="1"/>
  <c r="J97" i="1" s="1"/>
  <c r="G93" i="1"/>
  <c r="J93" i="1" s="1"/>
  <c r="G89" i="1"/>
  <c r="J89" i="1" s="1"/>
  <c r="G85" i="1"/>
  <c r="J85" i="1" s="1"/>
  <c r="G81" i="1"/>
  <c r="J81" i="1" s="1"/>
  <c r="G77" i="1"/>
  <c r="J77" i="1" s="1"/>
  <c r="G73" i="1"/>
  <c r="J73" i="1" s="1"/>
  <c r="G69" i="1"/>
  <c r="J69" i="1" s="1"/>
  <c r="G65" i="1"/>
  <c r="J65" i="1" s="1"/>
  <c r="G61" i="1"/>
  <c r="J61" i="1" s="1"/>
  <c r="G57" i="1"/>
  <c r="J57" i="1" s="1"/>
  <c r="G53" i="1"/>
  <c r="J53" i="1" s="1"/>
  <c r="G49" i="1"/>
  <c r="J49" i="1" s="1"/>
  <c r="G45" i="1"/>
  <c r="J45" i="1" s="1"/>
  <c r="G41" i="1"/>
  <c r="J41" i="1" s="1"/>
  <c r="G37" i="1"/>
  <c r="J37" i="1" s="1"/>
  <c r="G33" i="1"/>
  <c r="J33" i="1" s="1"/>
  <c r="G29" i="1"/>
  <c r="J29" i="1" s="1"/>
  <c r="G25" i="1"/>
  <c r="J25" i="1" s="1"/>
  <c r="G21" i="1"/>
  <c r="J21" i="1" s="1"/>
  <c r="G17" i="1"/>
  <c r="J17" i="1" s="1"/>
  <c r="G44" i="1"/>
  <c r="J44" i="1" s="1"/>
  <c r="G96" i="1"/>
  <c r="J96" i="1" s="1"/>
  <c r="G76" i="1"/>
  <c r="J76" i="1" s="1"/>
  <c r="G52" i="1"/>
  <c r="J52" i="1" s="1"/>
  <c r="G36" i="1"/>
  <c r="J36" i="1" s="1"/>
  <c r="G20" i="1"/>
  <c r="J20" i="1" s="1"/>
  <c r="G16" i="1"/>
  <c r="J16" i="1" s="1"/>
  <c r="G11" i="1"/>
  <c r="J11" i="1" s="1"/>
  <c r="G7" i="1"/>
  <c r="J7" i="1" s="1"/>
  <c r="G14" i="1"/>
  <c r="J14" i="1" s="1"/>
  <c r="G10" i="1"/>
  <c r="J10" i="1" s="1"/>
  <c r="G6" i="1"/>
  <c r="J6" i="1" s="1"/>
  <c r="G15" i="1"/>
  <c r="J15" i="1" s="1"/>
  <c r="G3" i="1"/>
  <c r="J3" i="1" s="1"/>
  <c r="G13" i="1"/>
  <c r="J13" i="1" s="1"/>
  <c r="G9" i="1"/>
  <c r="J9" i="1" s="1"/>
  <c r="G5" i="1"/>
  <c r="J5" i="1" s="1"/>
  <c r="G12" i="1"/>
  <c r="J12" i="1" s="1"/>
  <c r="G8" i="1"/>
  <c r="J8" i="1" s="1"/>
  <c r="G4" i="1"/>
  <c r="J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<sst xmlns="http://schemas.openxmlformats.org/spreadsheetml/2006/main" count="259" uniqueCount="120">
  <si>
    <t>id</t>
  </si>
  <si>
    <t>latex</t>
  </si>
  <si>
    <t>txt</t>
  </si>
  <si>
    <t>img</t>
  </si>
  <si>
    <t>sol</t>
  </si>
  <si>
    <t>s12p12</t>
  </si>
  <si>
    <t>s21p11</t>
  </si>
  <si>
    <t>w12p12</t>
  </si>
  <si>
    <t>source</t>
  </si>
  <si>
    <t>i1</t>
  </si>
  <si>
    <t>i2</t>
  </si>
  <si>
    <t>i7</t>
  </si>
  <si>
    <t>i8</t>
  </si>
  <si>
    <t>i11</t>
  </si>
  <si>
    <t>i21</t>
  </si>
  <si>
    <t>w13p13</t>
  </si>
  <si>
    <t>s14p11</t>
  </si>
  <si>
    <t>s16p12</t>
  </si>
  <si>
    <t>w16q11</t>
  </si>
  <si>
    <t>i22</t>
  </si>
  <si>
    <t>s16q13</t>
  </si>
  <si>
    <t>s17p11</t>
  </si>
  <si>
    <t>f2</t>
  </si>
  <si>
    <t>f5</t>
  </si>
  <si>
    <t>f8</t>
  </si>
  <si>
    <t>f11</t>
  </si>
  <si>
    <t>f13</t>
  </si>
  <si>
    <t>f28</t>
  </si>
  <si>
    <t>f33</t>
  </si>
  <si>
    <t>f35</t>
  </si>
  <si>
    <t>f42</t>
  </si>
  <si>
    <t>f43</t>
  </si>
  <si>
    <t>f44</t>
  </si>
  <si>
    <t>f46</t>
  </si>
  <si>
    <t>f52</t>
  </si>
  <si>
    <t>f64</t>
  </si>
  <si>
    <t>c1</t>
  </si>
  <si>
    <t>c2</t>
  </si>
  <si>
    <t>c3</t>
  </si>
  <si>
    <t>c7</t>
  </si>
  <si>
    <t>c11</t>
  </si>
  <si>
    <t>c21</t>
  </si>
  <si>
    <t>c22</t>
  </si>
  <si>
    <t>c23</t>
  </si>
  <si>
    <t>c27</t>
  </si>
  <si>
    <t>c34</t>
  </si>
  <si>
    <t>c43</t>
  </si>
  <si>
    <t>d1</t>
  </si>
  <si>
    <t>d2</t>
  </si>
  <si>
    <t>d3</t>
  </si>
  <si>
    <t>d6</t>
  </si>
  <si>
    <t>d11</t>
  </si>
  <si>
    <t>d22</t>
  </si>
  <si>
    <t>d26</t>
  </si>
  <si>
    <t>d31</t>
  </si>
  <si>
    <t>d34</t>
  </si>
  <si>
    <t>d35</t>
  </si>
  <si>
    <t>d39</t>
  </si>
  <si>
    <t>d44</t>
  </si>
  <si>
    <t>d46</t>
  </si>
  <si>
    <t>d48</t>
  </si>
  <si>
    <t>d49</t>
  </si>
  <si>
    <t>seqhw</t>
  </si>
  <si>
    <t>d50</t>
  </si>
  <si>
    <t>d52</t>
  </si>
  <si>
    <t>d53</t>
  </si>
  <si>
    <t>d59</t>
  </si>
  <si>
    <t>d61</t>
  </si>
  <si>
    <t>d64</t>
  </si>
  <si>
    <t>d71</t>
  </si>
  <si>
    <t>d73</t>
  </si>
  <si>
    <t>d76</t>
  </si>
  <si>
    <t>d82</t>
  </si>
  <si>
    <t>s1</t>
  </si>
  <si>
    <t>s6</t>
  </si>
  <si>
    <t>s9</t>
  </si>
  <si>
    <t>s11</t>
  </si>
  <si>
    <t>s12</t>
  </si>
  <si>
    <t>s20</t>
  </si>
  <si>
    <t>s21</t>
  </si>
  <si>
    <t>s24</t>
  </si>
  <si>
    <t>s25</t>
  </si>
  <si>
    <t>s27</t>
  </si>
  <si>
    <t>s29</t>
  </si>
  <si>
    <t>s33</t>
  </si>
  <si>
    <t>s36</t>
  </si>
  <si>
    <t>s38</t>
  </si>
  <si>
    <t>s42</t>
  </si>
  <si>
    <t>s51</t>
  </si>
  <si>
    <t>s52</t>
  </si>
  <si>
    <t>s54</t>
  </si>
  <si>
    <t>b3</t>
  </si>
  <si>
    <t>b6</t>
  </si>
  <si>
    <t>b11</t>
  </si>
  <si>
    <t>b17</t>
  </si>
  <si>
    <t>b19</t>
  </si>
  <si>
    <t>b26</t>
  </si>
  <si>
    <t>b29</t>
  </si>
  <si>
    <t>b30</t>
  </si>
  <si>
    <t>b34</t>
  </si>
  <si>
    <t>b51</t>
  </si>
  <si>
    <t>t3</t>
  </si>
  <si>
    <t>t4</t>
  </si>
  <si>
    <t>t7</t>
  </si>
  <si>
    <t>t8</t>
  </si>
  <si>
    <t>t9</t>
  </si>
  <si>
    <t>t10</t>
  </si>
  <si>
    <t>t11</t>
  </si>
  <si>
    <t>t14</t>
  </si>
  <si>
    <t>t18</t>
  </si>
  <si>
    <t>t19</t>
  </si>
  <si>
    <t>difficulty</t>
  </si>
  <si>
    <t>created by</t>
  </si>
  <si>
    <t>solEXCEL</t>
  </si>
  <si>
    <t>origname</t>
  </si>
  <si>
    <t>Steven</t>
  </si>
  <si>
    <t>Vamsi</t>
  </si>
  <si>
    <t>343</t>
  </si>
  <si>
    <t>excelGood?</t>
  </si>
  <si>
    <t>BUCKET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</si>
</sst>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6"/>
  <sheetViews>
    <sheetView tabSelected="1" topLeftCell="A49" workbookViewId="0">
      <selection activeCell="J2" sqref="J2"/>
    </sheetView>
  </sheetViews>
  <sheetFormatPr defaultRowHeight="14.4" x14ac:dyDescent="0.3"/>
  <cols>
    <col min="3" max="3" width="12.77734375" style="3" customWidth="1"/>
    <col min="5" max="5" width="12.6640625" customWidth="1"/>
    <col min="6" max="6" width="8.88671875" style="2"/>
    <col min="8" max="8" width="11.88671875" customWidth="1"/>
    <col min="9" max="9" width="11.44140625" customWidth="1"/>
    <col min="10" max="10" width="10.5546875" style="1" customWidth="1"/>
    <col min="11" max="11" width="10.21875" style="4" customWidth="1"/>
    <col min="12" max="12" width="5.109375" customWidth="1"/>
    <col min="13" max="13" width="35.21875" customWidth="1"/>
  </cols>
  <sheetData>
    <row r="1" spans="1:13" x14ac:dyDescent="0.3">
      <c r="A1" t="s">
        <v>0</v>
      </c>
      <c r="B1" t="s">
        <v>8</v>
      </c>
      <c r="C1" s="3" t="s">
        <v>114</v>
      </c>
      <c r="D1" t="s">
        <v>8</v>
      </c>
      <c r="E1" t="s">
        <v>3</v>
      </c>
      <c r="F1" s="2" t="s">
        <v>4</v>
      </c>
      <c r="G1" t="s">
        <v>113</v>
      </c>
      <c r="H1" t="s">
        <v>111</v>
      </c>
      <c r="I1" t="s">
        <v>112</v>
      </c>
      <c r="J1" s="1" t="s">
        <v>118</v>
      </c>
      <c r="K1" s="4" t="s">
        <v>119</v>
      </c>
      <c r="L1" t="s">
        <v>2</v>
      </c>
      <c r="M1" t="s">
        <v>1</v>
      </c>
    </row>
    <row r="2" spans="1:13" x14ac:dyDescent="0.3">
      <c r="A2">
        <v>0</v>
      </c>
      <c r="C2">
        <v>343</v>
      </c>
      <c r="D2" t="s">
        <v>62</v>
      </c>
      <c r="E2">
        <v>0</v>
      </c>
      <c r="F2" s="2" t="s">
        <v>117</v>
      </c>
      <c r="G2" t="str" cm="1">
        <f t="array" aca="1" ref="G2" ca="1">IFERROR(LEFT(C2,_xlfn.AGGREGATE(15,6,ROW(INDIRECT("1:"&amp;LEN(C2)+1))/(ISERROR(MID(C2&amp;" ",ROW(INDIRECT("1:"&amp;LEN(C2)+1)),1)*1)*(MID(C2&amp;" ",ROW(INDIRECT("1:"&amp;LEN(C2)+1)),1)&lt;&gt;".")*(MID(C2&amp;" ",ROW(INDIRECT("1:"&amp;LEN(C2)+1)),1)&lt;&gt;"-")),1)-1),C2)</f>
        <v>343</v>
      </c>
      <c r="H2" t="str" cm="1">
        <f t="array" ref="H2">_xlfn.XLOOKUP(TRUE,ISNUMBER(SEARCH({"easy";"medium";"moderate";"hard"},C2)),{"easy";"medium";"moderate";"hard"},"")</f>
        <v/>
      </c>
      <c r="I2" t="s">
        <v>115</v>
      </c>
      <c r="J2" s="1" t="str">
        <f ca="1">IF(IFERROR(VALUE(G2),G2)&lt;&gt;IFERROR(VALUE(F2),F2),"ERROR","")</f>
        <v/>
      </c>
      <c r="K2" s="4">
        <f>100+MOD(A2,10)</f>
        <v>100</v>
      </c>
    </row>
    <row r="3" spans="1:13" x14ac:dyDescent="0.3">
      <c r="A3">
        <f>A2+1</f>
        <v>1</v>
      </c>
      <c r="B3" t="s">
        <v>5</v>
      </c>
      <c r="C3">
        <v>2.5</v>
      </c>
      <c r="D3" t="s">
        <v>36</v>
      </c>
      <c r="E3">
        <v>1</v>
      </c>
      <c r="F3" s="2">
        <v>2.5</v>
      </c>
      <c r="G3" t="str" cm="1">
        <f t="array" aca="1" ref="G3" ca="1">IFERROR(LEFT(C3,_xlfn.AGGREGATE(15,6,ROW(INDIRECT("1:"&amp;LEN(C3)+1))/(ISERROR(MID(C3&amp;" ",ROW(INDIRECT("1:"&amp;LEN(C3)+1)),1)*1)*(MID(C3&amp;" ",ROW(INDIRECT("1:"&amp;LEN(C3)+1)),1)&lt;&gt;".")*(MID(C3&amp;" ",ROW(INDIRECT("1:"&amp;LEN(C3)+1)),1)&lt;&gt;"-")),1)-1),C3)</f>
        <v>2.5</v>
      </c>
      <c r="H3" t="str" cm="1">
        <f t="array" ref="H3">_xlfn.XLOOKUP(TRUE,ISNUMBER(SEARCH({"easy";"medium";"moderate";"hard"},C3)),{"easy";"medium";"moderate";"hard"},"")</f>
        <v/>
      </c>
      <c r="I3" t="s">
        <v>115</v>
      </c>
      <c r="J3" s="1" t="str">
        <f t="shared" ref="J3:J66" ca="1" si="0">IF(IFERROR(VALUE(G3),G3)&lt;&gt;IFERROR(VALUE(F3),F3),"ERROR","")</f>
        <v/>
      </c>
      <c r="K3" s="4">
        <f t="shared" ref="K3:K66" si="1">100+MOD(A3,10)</f>
        <v>101</v>
      </c>
    </row>
    <row r="4" spans="1:13" x14ac:dyDescent="0.3">
      <c r="A4">
        <f t="shared" ref="A4:A50" si="2">A3+1</f>
        <v>2</v>
      </c>
      <c r="B4" t="s">
        <v>6</v>
      </c>
      <c r="C4">
        <v>6.32</v>
      </c>
      <c r="D4" t="s">
        <v>37</v>
      </c>
      <c r="E4">
        <v>2</v>
      </c>
      <c r="F4" s="2">
        <v>6.32</v>
      </c>
      <c r="G4" t="str" cm="1">
        <f t="array" aca="1" ref="G4" ca="1">IFERROR(LEFT(C4,_xlfn.AGGREGATE(15,6,ROW(INDIRECT("1:"&amp;LEN(C4)+1))/(ISERROR(MID(C4&amp;" ",ROW(INDIRECT("1:"&amp;LEN(C4)+1)),1)*1)*(MID(C4&amp;" ",ROW(INDIRECT("1:"&amp;LEN(C4)+1)),1)&lt;&gt;".")*(MID(C4&amp;" ",ROW(INDIRECT("1:"&amp;LEN(C4)+1)),1)&lt;&gt;"-")),1)-1),C4)</f>
        <v>6.32</v>
      </c>
      <c r="H4" t="str" cm="1">
        <f t="array" ref="H4">_xlfn.XLOOKUP(TRUE,ISNUMBER(SEARCH({"easy";"medium";"moderate";"hard"},C4)),{"easy";"medium";"moderate";"hard"},"")</f>
        <v/>
      </c>
      <c r="I4" t="s">
        <v>115</v>
      </c>
      <c r="J4" s="1" t="str">
        <f t="shared" ca="1" si="0"/>
        <v/>
      </c>
      <c r="K4" s="4">
        <f t="shared" si="1"/>
        <v>102</v>
      </c>
    </row>
    <row r="5" spans="1:13" x14ac:dyDescent="0.3">
      <c r="A5">
        <f t="shared" si="2"/>
        <v>3</v>
      </c>
      <c r="B5" t="s">
        <v>7</v>
      </c>
      <c r="C5">
        <v>7</v>
      </c>
      <c r="D5" t="s">
        <v>38</v>
      </c>
      <c r="E5">
        <v>3</v>
      </c>
      <c r="F5" s="2">
        <v>7</v>
      </c>
      <c r="G5" t="str" cm="1">
        <f t="array" aca="1" ref="G5" ca="1">IFERROR(LEFT(C5,_xlfn.AGGREGATE(15,6,ROW(INDIRECT("1:"&amp;LEN(C5)+1))/(ISERROR(MID(C5&amp;" ",ROW(INDIRECT("1:"&amp;LEN(C5)+1)),1)*1)*(MID(C5&amp;" ",ROW(INDIRECT("1:"&amp;LEN(C5)+1)),1)&lt;&gt;".")*(MID(C5&amp;" ",ROW(INDIRECT("1:"&amp;LEN(C5)+1)),1)&lt;&gt;"-")),1)-1),C5)</f>
        <v>7</v>
      </c>
      <c r="H5" t="str" cm="1">
        <f t="array" ref="H5">_xlfn.XLOOKUP(TRUE,ISNUMBER(SEARCH({"easy";"medium";"moderate";"hard"},C5)),{"easy";"medium";"moderate";"hard"},"")</f>
        <v/>
      </c>
      <c r="I5" t="s">
        <v>115</v>
      </c>
      <c r="J5" s="1" t="str">
        <f t="shared" ca="1" si="0"/>
        <v/>
      </c>
      <c r="K5" s="4">
        <f t="shared" si="1"/>
        <v>103</v>
      </c>
    </row>
    <row r="6" spans="1:13" x14ac:dyDescent="0.3">
      <c r="A6">
        <f t="shared" si="2"/>
        <v>4</v>
      </c>
      <c r="B6" t="s">
        <v>15</v>
      </c>
      <c r="C6">
        <v>13</v>
      </c>
      <c r="D6" t="s">
        <v>39</v>
      </c>
      <c r="E6">
        <v>4</v>
      </c>
      <c r="F6" s="2">
        <v>13</v>
      </c>
      <c r="G6" t="str" cm="1">
        <f t="array" aca="1" ref="G6" ca="1">IFERROR(LEFT(C6,_xlfn.AGGREGATE(15,6,ROW(INDIRECT("1:"&amp;LEN(C6)+1))/(ISERROR(MID(C6&amp;" ",ROW(INDIRECT("1:"&amp;LEN(C6)+1)),1)*1)*(MID(C6&amp;" ",ROW(INDIRECT("1:"&amp;LEN(C6)+1)),1)&lt;&gt;".")*(MID(C6&amp;" ",ROW(INDIRECT("1:"&amp;LEN(C6)+1)),1)&lt;&gt;"-")),1)-1),C6)</f>
        <v>13</v>
      </c>
      <c r="H6" t="str" cm="1">
        <f t="array" ref="H6">_xlfn.XLOOKUP(TRUE,ISNUMBER(SEARCH({"easy";"medium";"moderate";"hard"},C6)),{"easy";"medium";"moderate";"hard"},"")</f>
        <v/>
      </c>
      <c r="I6" t="s">
        <v>115</v>
      </c>
      <c r="J6" s="1" t="str">
        <f t="shared" ca="1" si="0"/>
        <v/>
      </c>
      <c r="K6" s="4">
        <f t="shared" si="1"/>
        <v>104</v>
      </c>
    </row>
    <row r="7" spans="1:13" x14ac:dyDescent="0.3">
      <c r="A7">
        <f t="shared" si="2"/>
        <v>5</v>
      </c>
      <c r="B7" t="s">
        <v>16</v>
      </c>
      <c r="C7">
        <v>20</v>
      </c>
      <c r="D7" t="s">
        <v>40</v>
      </c>
      <c r="E7">
        <v>5</v>
      </c>
      <c r="F7" s="2">
        <v>20</v>
      </c>
      <c r="G7" t="str" cm="1">
        <f t="array" aca="1" ref="G7" ca="1">IFERROR(LEFT(C7,_xlfn.AGGREGATE(15,6,ROW(INDIRECT("1:"&amp;LEN(C7)+1))/(ISERROR(MID(C7&amp;" ",ROW(INDIRECT("1:"&amp;LEN(C7)+1)),1)*1)*(MID(C7&amp;" ",ROW(INDIRECT("1:"&amp;LEN(C7)+1)),1)&lt;&gt;".")*(MID(C7&amp;" ",ROW(INDIRECT("1:"&amp;LEN(C7)+1)),1)&lt;&gt;"-")),1)-1),C7)</f>
        <v>20</v>
      </c>
      <c r="H7" t="str" cm="1">
        <f t="array" ref="H7">_xlfn.XLOOKUP(TRUE,ISNUMBER(SEARCH({"easy";"medium";"moderate";"hard"},C7)),{"easy";"medium";"moderate";"hard"},"")</f>
        <v/>
      </c>
      <c r="I7" t="s">
        <v>115</v>
      </c>
      <c r="J7" s="1" t="str">
        <f t="shared" ca="1" si="0"/>
        <v/>
      </c>
      <c r="K7" s="4">
        <f t="shared" si="1"/>
        <v>105</v>
      </c>
    </row>
    <row r="8" spans="1:13" x14ac:dyDescent="0.3">
      <c r="A8">
        <f t="shared" si="2"/>
        <v>6</v>
      </c>
      <c r="B8" t="s">
        <v>17</v>
      </c>
      <c r="C8">
        <v>2.8</v>
      </c>
      <c r="D8" t="s">
        <v>41</v>
      </c>
      <c r="E8">
        <v>6</v>
      </c>
      <c r="F8" s="2">
        <v>2.8</v>
      </c>
      <c r="G8" t="str" cm="1">
        <f t="array" aca="1" ref="G8" ca="1">IFERROR(LEFT(C8,_xlfn.AGGREGATE(15,6,ROW(INDIRECT("1:"&amp;LEN(C8)+1))/(ISERROR(MID(C8&amp;" ",ROW(INDIRECT("1:"&amp;LEN(C8)+1)),1)*1)*(MID(C8&amp;" ",ROW(INDIRECT("1:"&amp;LEN(C8)+1)),1)&lt;&gt;".")*(MID(C8&amp;" ",ROW(INDIRECT("1:"&amp;LEN(C8)+1)),1)&lt;&gt;"-")),1)-1),C8)</f>
        <v>2.8</v>
      </c>
      <c r="H8" t="str" cm="1">
        <f t="array" ref="H8">_xlfn.XLOOKUP(TRUE,ISNUMBER(SEARCH({"easy";"medium";"moderate";"hard"},C8)),{"easy";"medium";"moderate";"hard"},"")</f>
        <v/>
      </c>
      <c r="I8" t="s">
        <v>115</v>
      </c>
      <c r="J8" s="1" t="str">
        <f t="shared" ca="1" si="0"/>
        <v/>
      </c>
      <c r="K8" s="4">
        <f t="shared" si="1"/>
        <v>106</v>
      </c>
    </row>
    <row r="9" spans="1:13" x14ac:dyDescent="0.3">
      <c r="A9">
        <f t="shared" si="2"/>
        <v>7</v>
      </c>
      <c r="B9" t="s">
        <v>17</v>
      </c>
      <c r="C9">
        <v>0.6</v>
      </c>
      <c r="D9" t="s">
        <v>41</v>
      </c>
      <c r="E9">
        <v>7</v>
      </c>
      <c r="F9" s="2">
        <v>0.6</v>
      </c>
      <c r="G9" t="str" cm="1">
        <f t="array" aca="1" ref="G9" ca="1">IFERROR(LEFT(C9,_xlfn.AGGREGATE(15,6,ROW(INDIRECT("1:"&amp;LEN(C9)+1))/(ISERROR(MID(C9&amp;" ",ROW(INDIRECT("1:"&amp;LEN(C9)+1)),1)*1)*(MID(C9&amp;" ",ROW(INDIRECT("1:"&amp;LEN(C9)+1)),1)&lt;&gt;".")*(MID(C9&amp;" ",ROW(INDIRECT("1:"&amp;LEN(C9)+1)),1)&lt;&gt;"-")),1)-1),C9)</f>
        <v>0.6</v>
      </c>
      <c r="H9" t="str" cm="1">
        <f t="array" ref="H9">_xlfn.XLOOKUP(TRUE,ISNUMBER(SEARCH({"easy";"medium";"moderate";"hard"},C9)),{"easy";"medium";"moderate";"hard"},"")</f>
        <v/>
      </c>
      <c r="I9" t="s">
        <v>115</v>
      </c>
      <c r="J9" s="1" t="str">
        <f t="shared" ca="1" si="0"/>
        <v/>
      </c>
      <c r="K9" s="4">
        <f t="shared" si="1"/>
        <v>107</v>
      </c>
    </row>
    <row r="10" spans="1:13" x14ac:dyDescent="0.3">
      <c r="A10">
        <f t="shared" si="2"/>
        <v>8</v>
      </c>
      <c r="B10" t="s">
        <v>20</v>
      </c>
      <c r="C10">
        <v>0.4</v>
      </c>
      <c r="D10" t="s">
        <v>42</v>
      </c>
      <c r="E10">
        <v>8</v>
      </c>
      <c r="F10" s="2">
        <v>0.4</v>
      </c>
      <c r="G10" t="str" cm="1">
        <f t="array" aca="1" ref="G10" ca="1">IFERROR(LEFT(C10,_xlfn.AGGREGATE(15,6,ROW(INDIRECT("1:"&amp;LEN(C10)+1))/(ISERROR(MID(C10&amp;" ",ROW(INDIRECT("1:"&amp;LEN(C10)+1)),1)*1)*(MID(C10&amp;" ",ROW(INDIRECT("1:"&amp;LEN(C10)+1)),1)&lt;&gt;".")*(MID(C10&amp;" ",ROW(INDIRECT("1:"&amp;LEN(C10)+1)),1)&lt;&gt;"-")),1)-1),C10)</f>
        <v>0.4</v>
      </c>
      <c r="H10" t="str" cm="1">
        <f t="array" ref="H10">_xlfn.XLOOKUP(TRUE,ISNUMBER(SEARCH({"easy";"medium";"moderate";"hard"},C10)),{"easy";"medium";"moderate";"hard"},"")</f>
        <v/>
      </c>
      <c r="I10" t="s">
        <v>115</v>
      </c>
      <c r="J10" s="1" t="str">
        <f t="shared" ca="1" si="0"/>
        <v/>
      </c>
      <c r="K10" s="4">
        <f t="shared" si="1"/>
        <v>108</v>
      </c>
    </row>
    <row r="11" spans="1:13" x14ac:dyDescent="0.3">
      <c r="A11">
        <f t="shared" si="2"/>
        <v>9</v>
      </c>
      <c r="B11" t="s">
        <v>18</v>
      </c>
      <c r="C11">
        <v>14.3</v>
      </c>
      <c r="D11" t="s">
        <v>43</v>
      </c>
      <c r="E11">
        <v>9</v>
      </c>
      <c r="F11" s="2">
        <v>14.3</v>
      </c>
      <c r="G11" t="str" cm="1">
        <f t="array" aca="1" ref="G11" ca="1">IFERROR(LEFT(C11,_xlfn.AGGREGATE(15,6,ROW(INDIRECT("1:"&amp;LEN(C11)+1))/(ISERROR(MID(C11&amp;" ",ROW(INDIRECT("1:"&amp;LEN(C11)+1)),1)*1)*(MID(C11&amp;" ",ROW(INDIRECT("1:"&amp;LEN(C11)+1)),1)&lt;&gt;".")*(MID(C11&amp;" ",ROW(INDIRECT("1:"&amp;LEN(C11)+1)),1)&lt;&gt;"-")),1)-1),C11)</f>
        <v>14.3</v>
      </c>
      <c r="H11" t="str" cm="1">
        <f t="array" ref="H11">_xlfn.XLOOKUP(TRUE,ISNUMBER(SEARCH({"easy";"medium";"moderate";"hard"},C11)),{"easy";"medium";"moderate";"hard"},"")</f>
        <v/>
      </c>
      <c r="I11" t="s">
        <v>115</v>
      </c>
      <c r="J11" s="1" t="str">
        <f t="shared" ca="1" si="0"/>
        <v/>
      </c>
      <c r="K11" s="4">
        <f t="shared" si="1"/>
        <v>109</v>
      </c>
    </row>
    <row r="12" spans="1:13" x14ac:dyDescent="0.3">
      <c r="A12">
        <f t="shared" si="2"/>
        <v>10</v>
      </c>
      <c r="B12" t="s">
        <v>21</v>
      </c>
      <c r="C12">
        <v>2.5</v>
      </c>
      <c r="D12" t="s">
        <v>44</v>
      </c>
      <c r="E12">
        <v>10</v>
      </c>
      <c r="F12" s="2">
        <v>2.5</v>
      </c>
      <c r="G12" t="str" cm="1">
        <f t="array" aca="1" ref="G12" ca="1">IFERROR(LEFT(C12,_xlfn.AGGREGATE(15,6,ROW(INDIRECT("1:"&amp;LEN(C12)+1))/(ISERROR(MID(C12&amp;" ",ROW(INDIRECT("1:"&amp;LEN(C12)+1)),1)*1)*(MID(C12&amp;" ",ROW(INDIRECT("1:"&amp;LEN(C12)+1)),1)&lt;&gt;".")*(MID(C12&amp;" ",ROW(INDIRECT("1:"&amp;LEN(C12)+1)),1)&lt;&gt;"-")),1)-1),C12)</f>
        <v>2.5</v>
      </c>
      <c r="H12" t="str" cm="1">
        <f t="array" ref="H12">_xlfn.XLOOKUP(TRUE,ISNUMBER(SEARCH({"easy";"medium";"moderate";"hard"},C12)),{"easy";"medium";"moderate";"hard"},"")</f>
        <v/>
      </c>
      <c r="I12" t="s">
        <v>115</v>
      </c>
      <c r="J12" s="1" t="str">
        <f t="shared" ca="1" si="0"/>
        <v/>
      </c>
      <c r="K12" s="4">
        <f t="shared" si="1"/>
        <v>100</v>
      </c>
    </row>
    <row r="13" spans="1:13" x14ac:dyDescent="0.3">
      <c r="A13">
        <f t="shared" si="2"/>
        <v>11</v>
      </c>
      <c r="C13">
        <v>0.66700000000000004</v>
      </c>
      <c r="D13" t="s">
        <v>45</v>
      </c>
      <c r="E13">
        <v>11</v>
      </c>
      <c r="F13" s="2">
        <v>0.66700000000000004</v>
      </c>
      <c r="G13" t="str" cm="1">
        <f t="array" aca="1" ref="G13" ca="1">IFERROR(LEFT(C13,_xlfn.AGGREGATE(15,6,ROW(INDIRECT("1:"&amp;LEN(C13)+1))/(ISERROR(MID(C13&amp;" ",ROW(INDIRECT("1:"&amp;LEN(C13)+1)),1)*1)*(MID(C13&amp;" ",ROW(INDIRECT("1:"&amp;LEN(C13)+1)),1)&lt;&gt;".")*(MID(C13&amp;" ",ROW(INDIRECT("1:"&amp;LEN(C13)+1)),1)&lt;&gt;"-")),1)-1),C13)</f>
        <v>0.667</v>
      </c>
      <c r="H13" t="str" cm="1">
        <f t="array" ref="H13">_xlfn.XLOOKUP(TRUE,ISNUMBER(SEARCH({"easy";"medium";"moderate";"hard"},C13)),{"easy";"medium";"moderate";"hard"},"")</f>
        <v/>
      </c>
      <c r="I13" t="s">
        <v>115</v>
      </c>
      <c r="J13" s="1" t="str">
        <f t="shared" ca="1" si="0"/>
        <v/>
      </c>
      <c r="K13" s="4">
        <f t="shared" si="1"/>
        <v>101</v>
      </c>
    </row>
    <row r="14" spans="1:13" x14ac:dyDescent="0.3">
      <c r="A14">
        <f t="shared" si="2"/>
        <v>12</v>
      </c>
      <c r="C14">
        <v>4.25</v>
      </c>
      <c r="D14" t="s">
        <v>46</v>
      </c>
      <c r="E14">
        <v>12</v>
      </c>
      <c r="F14" s="2">
        <v>4.25</v>
      </c>
      <c r="G14" t="str" cm="1">
        <f t="array" aca="1" ref="G14" ca="1">IFERROR(LEFT(C14,_xlfn.AGGREGATE(15,6,ROW(INDIRECT("1:"&amp;LEN(C14)+1))/(ISERROR(MID(C14&amp;" ",ROW(INDIRECT("1:"&amp;LEN(C14)+1)),1)*1)*(MID(C14&amp;" ",ROW(INDIRECT("1:"&amp;LEN(C14)+1)),1)&lt;&gt;".")*(MID(C14&amp;" ",ROW(INDIRECT("1:"&amp;LEN(C14)+1)),1)&lt;&gt;"-")),1)-1),C14)</f>
        <v>4.25</v>
      </c>
      <c r="H14" t="str" cm="1">
        <f t="array" ref="H14">_xlfn.XLOOKUP(TRUE,ISNUMBER(SEARCH({"easy";"medium";"moderate";"hard"},C14)),{"easy";"medium";"moderate";"hard"},"")</f>
        <v/>
      </c>
      <c r="I14" t="s">
        <v>115</v>
      </c>
      <c r="J14" s="1" t="str">
        <f t="shared" ca="1" si="0"/>
        <v/>
      </c>
      <c r="K14" s="4">
        <f t="shared" si="1"/>
        <v>102</v>
      </c>
    </row>
    <row r="15" spans="1:13" x14ac:dyDescent="0.3">
      <c r="A15">
        <f t="shared" si="2"/>
        <v>13</v>
      </c>
      <c r="C15">
        <v>7.11</v>
      </c>
      <c r="D15" t="s">
        <v>22</v>
      </c>
      <c r="E15">
        <v>13</v>
      </c>
      <c r="F15" s="2">
        <v>7.11</v>
      </c>
      <c r="G15" t="str" cm="1">
        <f t="array" aca="1" ref="G15" ca="1">IFERROR(LEFT(C15,_xlfn.AGGREGATE(15,6,ROW(INDIRECT("1:"&amp;LEN(C15)+1))/(ISERROR(MID(C15&amp;" ",ROW(INDIRECT("1:"&amp;LEN(C15)+1)),1)*1)*(MID(C15&amp;" ",ROW(INDIRECT("1:"&amp;LEN(C15)+1)),1)&lt;&gt;".")*(MID(C15&amp;" ",ROW(INDIRECT("1:"&amp;LEN(C15)+1)),1)&lt;&gt;"-")),1)-1),C15)</f>
        <v>7.11</v>
      </c>
      <c r="H15" t="str" cm="1">
        <f t="array" ref="H15">_xlfn.XLOOKUP(TRUE,ISNUMBER(SEARCH({"easy";"medium";"moderate";"hard"},C15)),{"easy";"medium";"moderate";"hard"},"")</f>
        <v/>
      </c>
      <c r="I15" t="s">
        <v>115</v>
      </c>
      <c r="J15" s="1" t="str">
        <f t="shared" ca="1" si="0"/>
        <v/>
      </c>
      <c r="K15" s="4">
        <f t="shared" si="1"/>
        <v>103</v>
      </c>
    </row>
    <row r="16" spans="1:13" x14ac:dyDescent="0.3">
      <c r="A16">
        <f t="shared" si="2"/>
        <v>14</v>
      </c>
      <c r="C16">
        <v>-0.31</v>
      </c>
      <c r="D16" t="s">
        <v>23</v>
      </c>
      <c r="E16">
        <v>14</v>
      </c>
      <c r="F16" s="2">
        <v>-0.31</v>
      </c>
      <c r="G16" t="str" cm="1">
        <f t="array" aca="1" ref="G16" ca="1">IFERROR(LEFT(C16,_xlfn.AGGREGATE(15,6,ROW(INDIRECT("1:"&amp;LEN(C16)+1))/(ISERROR(MID(C16&amp;" ",ROW(INDIRECT("1:"&amp;LEN(C16)+1)),1)*1)*(MID(C16&amp;" ",ROW(INDIRECT("1:"&amp;LEN(C16)+1)),1)&lt;&gt;".")*(MID(C16&amp;" ",ROW(INDIRECT("1:"&amp;LEN(C16)+1)),1)&lt;&gt;"-")),1)-1),C16)</f>
        <v>-0.31</v>
      </c>
      <c r="H16" t="str" cm="1">
        <f t="array" ref="H16">_xlfn.XLOOKUP(TRUE,ISNUMBER(SEARCH({"easy";"medium";"moderate";"hard"},C16)),{"easy";"medium";"moderate";"hard"},"")</f>
        <v/>
      </c>
      <c r="I16" t="s">
        <v>115</v>
      </c>
      <c r="J16" s="1" t="str">
        <f t="shared" ca="1" si="0"/>
        <v/>
      </c>
      <c r="K16" s="4">
        <f t="shared" si="1"/>
        <v>104</v>
      </c>
    </row>
    <row r="17" spans="1:11" x14ac:dyDescent="0.3">
      <c r="A17">
        <f t="shared" si="2"/>
        <v>15</v>
      </c>
      <c r="C17">
        <v>3</v>
      </c>
      <c r="D17" t="s">
        <v>24</v>
      </c>
      <c r="E17">
        <v>15</v>
      </c>
      <c r="F17" s="2">
        <v>3</v>
      </c>
      <c r="G17" t="str" cm="1">
        <f t="array" aca="1" ref="G17" ca="1">IFERROR(LEFT(C17,_xlfn.AGGREGATE(15,6,ROW(INDIRECT("1:"&amp;LEN(C17)+1))/(ISERROR(MID(C17&amp;" ",ROW(INDIRECT("1:"&amp;LEN(C17)+1)),1)*1)*(MID(C17&amp;" ",ROW(INDIRECT("1:"&amp;LEN(C17)+1)),1)&lt;&gt;".")*(MID(C17&amp;" ",ROW(INDIRECT("1:"&amp;LEN(C17)+1)),1)&lt;&gt;"-")),1)-1),C17)</f>
        <v>3</v>
      </c>
      <c r="H17" t="str" cm="1">
        <f t="array" ref="H17">_xlfn.XLOOKUP(TRUE,ISNUMBER(SEARCH({"easy";"medium";"moderate";"hard"},C17)),{"easy";"medium";"moderate";"hard"},"")</f>
        <v/>
      </c>
      <c r="I17" t="s">
        <v>115</v>
      </c>
      <c r="J17" s="1" t="str">
        <f t="shared" ca="1" si="0"/>
        <v/>
      </c>
      <c r="K17" s="4">
        <f t="shared" si="1"/>
        <v>105</v>
      </c>
    </row>
    <row r="18" spans="1:11" x14ac:dyDescent="0.3">
      <c r="A18">
        <f t="shared" si="2"/>
        <v>16</v>
      </c>
      <c r="C18">
        <v>1.5</v>
      </c>
      <c r="D18" t="s">
        <v>25</v>
      </c>
      <c r="E18">
        <v>16</v>
      </c>
      <c r="F18" s="2">
        <v>1.5</v>
      </c>
      <c r="G18" t="str" cm="1">
        <f t="array" aca="1" ref="G18" ca="1">IFERROR(LEFT(C18,_xlfn.AGGREGATE(15,6,ROW(INDIRECT("1:"&amp;LEN(C18)+1))/(ISERROR(MID(C18&amp;" ",ROW(INDIRECT("1:"&amp;LEN(C18)+1)),1)*1)*(MID(C18&amp;" ",ROW(INDIRECT("1:"&amp;LEN(C18)+1)),1)&lt;&gt;".")*(MID(C18&amp;" ",ROW(INDIRECT("1:"&amp;LEN(C18)+1)),1)&lt;&gt;"-")),1)-1),C18)</f>
        <v>1.5</v>
      </c>
      <c r="H18" t="str" cm="1">
        <f t="array" ref="H18">_xlfn.XLOOKUP(TRUE,ISNUMBER(SEARCH({"easy";"medium";"moderate";"hard"},C18)),{"easy";"medium";"moderate";"hard"},"")</f>
        <v/>
      </c>
      <c r="I18" t="s">
        <v>115</v>
      </c>
      <c r="J18" s="1" t="str">
        <f t="shared" ca="1" si="0"/>
        <v/>
      </c>
      <c r="K18" s="4">
        <f t="shared" si="1"/>
        <v>106</v>
      </c>
    </row>
    <row r="19" spans="1:11" x14ac:dyDescent="0.3">
      <c r="A19">
        <f t="shared" si="2"/>
        <v>17</v>
      </c>
      <c r="C19">
        <v>3.38</v>
      </c>
      <c r="D19" t="s">
        <v>26</v>
      </c>
      <c r="E19">
        <v>17</v>
      </c>
      <c r="F19" s="2">
        <v>3.38</v>
      </c>
      <c r="G19" t="str" cm="1">
        <f t="array" aca="1" ref="G19" ca="1">IFERROR(LEFT(C19,_xlfn.AGGREGATE(15,6,ROW(INDIRECT("1:"&amp;LEN(C19)+1))/(ISERROR(MID(C19&amp;" ",ROW(INDIRECT("1:"&amp;LEN(C19)+1)),1)*1)*(MID(C19&amp;" ",ROW(INDIRECT("1:"&amp;LEN(C19)+1)),1)&lt;&gt;".")*(MID(C19&amp;" ",ROW(INDIRECT("1:"&amp;LEN(C19)+1)),1)&lt;&gt;"-")),1)-1),C19)</f>
        <v>3.38</v>
      </c>
      <c r="H19" t="str" cm="1">
        <f t="array" ref="H19">_xlfn.XLOOKUP(TRUE,ISNUMBER(SEARCH({"easy";"medium";"moderate";"hard"},C19)),{"easy";"medium";"moderate";"hard"},"")</f>
        <v/>
      </c>
      <c r="I19" t="s">
        <v>115</v>
      </c>
      <c r="J19" s="1" t="str">
        <f t="shared" ca="1" si="0"/>
        <v/>
      </c>
      <c r="K19" s="4">
        <f t="shared" si="1"/>
        <v>107</v>
      </c>
    </row>
    <row r="20" spans="1:11" x14ac:dyDescent="0.3">
      <c r="A20">
        <f t="shared" si="2"/>
        <v>18</v>
      </c>
      <c r="C20">
        <v>0.28599999999999998</v>
      </c>
      <c r="D20" t="s">
        <v>27</v>
      </c>
      <c r="E20">
        <v>18</v>
      </c>
      <c r="F20" s="2">
        <v>0.28599999999999998</v>
      </c>
      <c r="G20" t="str" cm="1">
        <f t="array" aca="1" ref="G20" ca="1">IFERROR(LEFT(C20,_xlfn.AGGREGATE(15,6,ROW(INDIRECT("1:"&amp;LEN(C20)+1))/(ISERROR(MID(C20&amp;" ",ROW(INDIRECT("1:"&amp;LEN(C20)+1)),1)*1)*(MID(C20&amp;" ",ROW(INDIRECT("1:"&amp;LEN(C20)+1)),1)&lt;&gt;".")*(MID(C20&amp;" ",ROW(INDIRECT("1:"&amp;LEN(C20)+1)),1)&lt;&gt;"-")),1)-1),C20)</f>
        <v>0.286</v>
      </c>
      <c r="H20" t="str" cm="1">
        <f t="array" ref="H20">_xlfn.XLOOKUP(TRUE,ISNUMBER(SEARCH({"easy";"medium";"moderate";"hard"},C20)),{"easy";"medium";"moderate";"hard"},"")</f>
        <v/>
      </c>
      <c r="I20" t="s">
        <v>115</v>
      </c>
      <c r="J20" s="1" t="str">
        <f t="shared" ca="1" si="0"/>
        <v/>
      </c>
      <c r="K20" s="4">
        <f t="shared" si="1"/>
        <v>108</v>
      </c>
    </row>
    <row r="21" spans="1:11" x14ac:dyDescent="0.3">
      <c r="A21">
        <f t="shared" si="2"/>
        <v>19</v>
      </c>
      <c r="C21">
        <v>2</v>
      </c>
      <c r="D21" t="s">
        <v>28</v>
      </c>
      <c r="E21">
        <v>19</v>
      </c>
      <c r="F21" s="2">
        <v>2</v>
      </c>
      <c r="G21" t="str" cm="1">
        <f t="array" aca="1" ref="G21" ca="1">IFERROR(LEFT(C21,_xlfn.AGGREGATE(15,6,ROW(INDIRECT("1:"&amp;LEN(C21)+1))/(ISERROR(MID(C21&amp;" ",ROW(INDIRECT("1:"&amp;LEN(C21)+1)),1)*1)*(MID(C21&amp;" ",ROW(INDIRECT("1:"&amp;LEN(C21)+1)),1)&lt;&gt;".")*(MID(C21&amp;" ",ROW(INDIRECT("1:"&amp;LEN(C21)+1)),1)&lt;&gt;"-")),1)-1),C21)</f>
        <v>2</v>
      </c>
      <c r="H21" t="str" cm="1">
        <f t="array" ref="H21">_xlfn.XLOOKUP(TRUE,ISNUMBER(SEARCH({"easy";"medium";"moderate";"hard"},C21)),{"easy";"medium";"moderate";"hard"},"")</f>
        <v/>
      </c>
      <c r="I21" t="s">
        <v>115</v>
      </c>
      <c r="J21" s="1" t="str">
        <f t="shared" ca="1" si="0"/>
        <v/>
      </c>
      <c r="K21" s="4">
        <f t="shared" si="1"/>
        <v>109</v>
      </c>
    </row>
    <row r="22" spans="1:11" x14ac:dyDescent="0.3">
      <c r="A22">
        <f t="shared" si="2"/>
        <v>20</v>
      </c>
      <c r="C22">
        <v>33</v>
      </c>
      <c r="D22" t="s">
        <v>29</v>
      </c>
      <c r="E22">
        <v>20</v>
      </c>
      <c r="F22" s="2">
        <v>33</v>
      </c>
      <c r="G22" t="str" cm="1">
        <f t="array" aca="1" ref="G22" ca="1">IFERROR(LEFT(C22,_xlfn.AGGREGATE(15,6,ROW(INDIRECT("1:"&amp;LEN(C22)+1))/(ISERROR(MID(C22&amp;" ",ROW(INDIRECT("1:"&amp;LEN(C22)+1)),1)*1)*(MID(C22&amp;" ",ROW(INDIRECT("1:"&amp;LEN(C22)+1)),1)&lt;&gt;".")*(MID(C22&amp;" ",ROW(INDIRECT("1:"&amp;LEN(C22)+1)),1)&lt;&gt;"-")),1)-1),C22)</f>
        <v>33</v>
      </c>
      <c r="H22" t="str" cm="1">
        <f t="array" ref="H22">_xlfn.XLOOKUP(TRUE,ISNUMBER(SEARCH({"easy";"medium";"moderate";"hard"},C22)),{"easy";"medium";"moderate";"hard"},"")</f>
        <v/>
      </c>
      <c r="I22" t="s">
        <v>115</v>
      </c>
      <c r="J22" s="1" t="str">
        <f t="shared" ca="1" si="0"/>
        <v/>
      </c>
      <c r="K22" s="4">
        <f t="shared" si="1"/>
        <v>100</v>
      </c>
    </row>
    <row r="23" spans="1:11" x14ac:dyDescent="0.3">
      <c r="A23">
        <f t="shared" si="2"/>
        <v>21</v>
      </c>
      <c r="C23">
        <v>0.25</v>
      </c>
      <c r="D23" t="s">
        <v>30</v>
      </c>
      <c r="E23">
        <v>21</v>
      </c>
      <c r="F23" s="2">
        <v>0.25</v>
      </c>
      <c r="G23" t="str" cm="1">
        <f t="array" aca="1" ref="G23" ca="1">IFERROR(LEFT(C23,_xlfn.AGGREGATE(15,6,ROW(INDIRECT("1:"&amp;LEN(C23)+1))/(ISERROR(MID(C23&amp;" ",ROW(INDIRECT("1:"&amp;LEN(C23)+1)),1)*1)*(MID(C23&amp;" ",ROW(INDIRECT("1:"&amp;LEN(C23)+1)),1)&lt;&gt;".")*(MID(C23&amp;" ",ROW(INDIRECT("1:"&amp;LEN(C23)+1)),1)&lt;&gt;"-")),1)-1),C23)</f>
        <v>0.25</v>
      </c>
      <c r="H23" t="str" cm="1">
        <f t="array" ref="H23">_xlfn.XLOOKUP(TRUE,ISNUMBER(SEARCH({"easy";"medium";"moderate";"hard"},C23)),{"easy";"medium";"moderate";"hard"},"")</f>
        <v/>
      </c>
      <c r="I23" t="s">
        <v>115</v>
      </c>
      <c r="J23" s="1" t="str">
        <f t="shared" ca="1" si="0"/>
        <v/>
      </c>
      <c r="K23" s="4">
        <f t="shared" si="1"/>
        <v>101</v>
      </c>
    </row>
    <row r="24" spans="1:11" x14ac:dyDescent="0.3">
      <c r="A24">
        <f t="shared" si="2"/>
        <v>22</v>
      </c>
      <c r="C24">
        <v>5</v>
      </c>
      <c r="D24" t="s">
        <v>31</v>
      </c>
      <c r="E24">
        <v>22</v>
      </c>
      <c r="F24" s="2">
        <v>5</v>
      </c>
      <c r="G24" t="str" cm="1">
        <f t="array" aca="1" ref="G24" ca="1">IFERROR(LEFT(C24,_xlfn.AGGREGATE(15,6,ROW(INDIRECT("1:"&amp;LEN(C24)+1))/(ISERROR(MID(C24&amp;" ",ROW(INDIRECT("1:"&amp;LEN(C24)+1)),1)*1)*(MID(C24&amp;" ",ROW(INDIRECT("1:"&amp;LEN(C24)+1)),1)&lt;&gt;".")*(MID(C24&amp;" ",ROW(INDIRECT("1:"&amp;LEN(C24)+1)),1)&lt;&gt;"-")),1)-1),C24)</f>
        <v>5</v>
      </c>
      <c r="H24" t="str" cm="1">
        <f t="array" ref="H24">_xlfn.XLOOKUP(TRUE,ISNUMBER(SEARCH({"easy";"medium";"moderate";"hard"},C24)),{"easy";"medium";"moderate";"hard"},"")</f>
        <v/>
      </c>
      <c r="I24" t="s">
        <v>115</v>
      </c>
      <c r="J24" s="1" t="str">
        <f t="shared" ca="1" si="0"/>
        <v/>
      </c>
      <c r="K24" s="4">
        <f t="shared" si="1"/>
        <v>102</v>
      </c>
    </row>
    <row r="25" spans="1:11" x14ac:dyDescent="0.3">
      <c r="A25">
        <f t="shared" si="2"/>
        <v>23</v>
      </c>
      <c r="C25">
        <v>1.4</v>
      </c>
      <c r="D25" t="s">
        <v>32</v>
      </c>
      <c r="E25">
        <v>23</v>
      </c>
      <c r="F25" s="2">
        <v>1.4</v>
      </c>
      <c r="G25" t="str" cm="1">
        <f t="array" aca="1" ref="G25" ca="1">IFERROR(LEFT(C25,_xlfn.AGGREGATE(15,6,ROW(INDIRECT("1:"&amp;LEN(C25)+1))/(ISERROR(MID(C25&amp;" ",ROW(INDIRECT("1:"&amp;LEN(C25)+1)),1)*1)*(MID(C25&amp;" ",ROW(INDIRECT("1:"&amp;LEN(C25)+1)),1)&lt;&gt;".")*(MID(C25&amp;" ",ROW(INDIRECT("1:"&amp;LEN(C25)+1)),1)&lt;&gt;"-")),1)-1),C25)</f>
        <v>1.4</v>
      </c>
      <c r="H25" t="str" cm="1">
        <f t="array" ref="H25">_xlfn.XLOOKUP(TRUE,ISNUMBER(SEARCH({"easy";"medium";"moderate";"hard"},C25)),{"easy";"medium";"moderate";"hard"},"")</f>
        <v/>
      </c>
      <c r="I25" t="s">
        <v>115</v>
      </c>
      <c r="J25" s="1" t="str">
        <f t="shared" ca="1" si="0"/>
        <v/>
      </c>
      <c r="K25" s="4">
        <f t="shared" si="1"/>
        <v>103</v>
      </c>
    </row>
    <row r="26" spans="1:11" x14ac:dyDescent="0.3">
      <c r="A26">
        <f t="shared" si="2"/>
        <v>24</v>
      </c>
      <c r="C26">
        <v>-10</v>
      </c>
      <c r="D26" t="s">
        <v>32</v>
      </c>
      <c r="E26">
        <v>24</v>
      </c>
      <c r="F26" s="2">
        <v>-10</v>
      </c>
      <c r="G26" t="str" cm="1">
        <f t="array" aca="1" ref="G26" ca="1">IFERROR(LEFT(C26,_xlfn.AGGREGATE(15,6,ROW(INDIRECT("1:"&amp;LEN(C26)+1))/(ISERROR(MID(C26&amp;" ",ROW(INDIRECT("1:"&amp;LEN(C26)+1)),1)*1)*(MID(C26&amp;" ",ROW(INDIRECT("1:"&amp;LEN(C26)+1)),1)&lt;&gt;".")*(MID(C26&amp;" ",ROW(INDIRECT("1:"&amp;LEN(C26)+1)),1)&lt;&gt;"-")),1)-1),C26)</f>
        <v>-10</v>
      </c>
      <c r="H26" t="str" cm="1">
        <f t="array" ref="H26">_xlfn.XLOOKUP(TRUE,ISNUMBER(SEARCH({"easy";"medium";"moderate";"hard"},C26)),{"easy";"medium";"moderate";"hard"},"")</f>
        <v/>
      </c>
      <c r="I26" t="s">
        <v>115</v>
      </c>
      <c r="J26" s="1" t="str">
        <f t="shared" ca="1" si="0"/>
        <v/>
      </c>
      <c r="K26" s="4">
        <f t="shared" si="1"/>
        <v>104</v>
      </c>
    </row>
    <row r="27" spans="1:11" x14ac:dyDescent="0.3">
      <c r="A27">
        <f t="shared" si="2"/>
        <v>25</v>
      </c>
      <c r="C27">
        <v>-1.2</v>
      </c>
      <c r="D27" t="s">
        <v>33</v>
      </c>
      <c r="E27">
        <v>25</v>
      </c>
      <c r="F27" s="2">
        <v>-1.2</v>
      </c>
      <c r="G27" t="str" cm="1">
        <f t="array" aca="1" ref="G27" ca="1">IFERROR(LEFT(C27,_xlfn.AGGREGATE(15,6,ROW(INDIRECT("1:"&amp;LEN(C27)+1))/(ISERROR(MID(C27&amp;" ",ROW(INDIRECT("1:"&amp;LEN(C27)+1)),1)*1)*(MID(C27&amp;" ",ROW(INDIRECT("1:"&amp;LEN(C27)+1)),1)&lt;&gt;".")*(MID(C27&amp;" ",ROW(INDIRECT("1:"&amp;LEN(C27)+1)),1)&lt;&gt;"-")),1)-1),C27)</f>
        <v>-1.2</v>
      </c>
      <c r="H27" t="str" cm="1">
        <f t="array" ref="H27">_xlfn.XLOOKUP(TRUE,ISNUMBER(SEARCH({"easy";"medium";"moderate";"hard"},C27)),{"easy";"medium";"moderate";"hard"},"")</f>
        <v/>
      </c>
      <c r="I27" t="s">
        <v>115</v>
      </c>
      <c r="J27" s="1" t="str">
        <f t="shared" ca="1" si="0"/>
        <v/>
      </c>
      <c r="K27" s="4">
        <f t="shared" si="1"/>
        <v>105</v>
      </c>
    </row>
    <row r="28" spans="1:11" x14ac:dyDescent="0.3">
      <c r="A28">
        <f t="shared" si="2"/>
        <v>26</v>
      </c>
      <c r="C28">
        <v>-5</v>
      </c>
      <c r="D28" t="s">
        <v>33</v>
      </c>
      <c r="E28">
        <v>26</v>
      </c>
      <c r="F28" s="2">
        <v>-5</v>
      </c>
      <c r="G28" t="str" cm="1">
        <f t="array" aca="1" ref="G28" ca="1">IFERROR(LEFT(C28,_xlfn.AGGREGATE(15,6,ROW(INDIRECT("1:"&amp;LEN(C28)+1))/(ISERROR(MID(C28&amp;" ",ROW(INDIRECT("1:"&amp;LEN(C28)+1)),1)*1)*(MID(C28&amp;" ",ROW(INDIRECT("1:"&amp;LEN(C28)+1)),1)&lt;&gt;".")*(MID(C28&amp;" ",ROW(INDIRECT("1:"&amp;LEN(C28)+1)),1)&lt;&gt;"-")),1)-1),C28)</f>
        <v>-5</v>
      </c>
      <c r="H28" t="str" cm="1">
        <f t="array" ref="H28">_xlfn.XLOOKUP(TRUE,ISNUMBER(SEARCH({"easy";"medium";"moderate";"hard"},C28)),{"easy";"medium";"moderate";"hard"},"")</f>
        <v/>
      </c>
      <c r="I28" t="s">
        <v>115</v>
      </c>
      <c r="J28" s="1" t="str">
        <f t="shared" ca="1" si="0"/>
        <v/>
      </c>
      <c r="K28" s="4">
        <f t="shared" si="1"/>
        <v>106</v>
      </c>
    </row>
    <row r="29" spans="1:11" x14ac:dyDescent="0.3">
      <c r="A29">
        <f t="shared" si="2"/>
        <v>27</v>
      </c>
      <c r="C29">
        <v>0.25</v>
      </c>
      <c r="D29" t="s">
        <v>34</v>
      </c>
      <c r="E29">
        <v>27</v>
      </c>
      <c r="F29" s="2">
        <v>0.25</v>
      </c>
      <c r="G29" t="str" cm="1">
        <f t="array" aca="1" ref="G29" ca="1">IFERROR(LEFT(C29,_xlfn.AGGREGATE(15,6,ROW(INDIRECT("1:"&amp;LEN(C29)+1))/(ISERROR(MID(C29&amp;" ",ROW(INDIRECT("1:"&amp;LEN(C29)+1)),1)*1)*(MID(C29&amp;" ",ROW(INDIRECT("1:"&amp;LEN(C29)+1)),1)&lt;&gt;".")*(MID(C29&amp;" ",ROW(INDIRECT("1:"&amp;LEN(C29)+1)),1)&lt;&gt;"-")),1)-1),C29)</f>
        <v>0.25</v>
      </c>
      <c r="H29" t="str" cm="1">
        <f t="array" ref="H29">_xlfn.XLOOKUP(TRUE,ISNUMBER(SEARCH({"easy";"medium";"moderate";"hard"},C29)),{"easy";"medium";"moderate";"hard"},"")</f>
        <v/>
      </c>
      <c r="I29" t="s">
        <v>115</v>
      </c>
      <c r="J29" s="1" t="str">
        <f t="shared" ca="1" si="0"/>
        <v/>
      </c>
      <c r="K29" s="4">
        <f t="shared" si="1"/>
        <v>107</v>
      </c>
    </row>
    <row r="30" spans="1:11" x14ac:dyDescent="0.3">
      <c r="A30">
        <f t="shared" si="2"/>
        <v>28</v>
      </c>
      <c r="C30">
        <v>3.5</v>
      </c>
      <c r="D30" t="s">
        <v>35</v>
      </c>
      <c r="E30">
        <v>28</v>
      </c>
      <c r="F30" s="2">
        <v>3.5</v>
      </c>
      <c r="G30" t="str" cm="1">
        <f t="array" aca="1" ref="G30" ca="1">IFERROR(LEFT(C30,_xlfn.AGGREGATE(15,6,ROW(INDIRECT("1:"&amp;LEN(C30)+1))/(ISERROR(MID(C30&amp;" ",ROW(INDIRECT("1:"&amp;LEN(C30)+1)),1)*1)*(MID(C30&amp;" ",ROW(INDIRECT("1:"&amp;LEN(C30)+1)),1)&lt;&gt;".")*(MID(C30&amp;" ",ROW(INDIRECT("1:"&amp;LEN(C30)+1)),1)&lt;&gt;"-")),1)-1),C30)</f>
        <v>3.5</v>
      </c>
      <c r="H30" t="str" cm="1">
        <f t="array" ref="H30">_xlfn.XLOOKUP(TRUE,ISNUMBER(SEARCH({"easy";"medium";"moderate";"hard"},C30)),{"easy";"medium";"moderate";"hard"},"")</f>
        <v/>
      </c>
      <c r="I30" t="s">
        <v>115</v>
      </c>
      <c r="J30" s="1" t="str">
        <f t="shared" ca="1" si="0"/>
        <v/>
      </c>
      <c r="K30" s="4">
        <f t="shared" si="1"/>
        <v>108</v>
      </c>
    </row>
    <row r="31" spans="1:11" x14ac:dyDescent="0.3">
      <c r="A31">
        <f t="shared" si="2"/>
        <v>29</v>
      </c>
      <c r="C31">
        <v>2.04</v>
      </c>
      <c r="D31" t="s">
        <v>9</v>
      </c>
      <c r="E31">
        <v>29</v>
      </c>
      <c r="F31" s="2">
        <v>2.04</v>
      </c>
      <c r="G31" t="str" cm="1">
        <f t="array" aca="1" ref="G31" ca="1">IFERROR(LEFT(C31,_xlfn.AGGREGATE(15,6,ROW(INDIRECT("1:"&amp;LEN(C31)+1))/(ISERROR(MID(C31&amp;" ",ROW(INDIRECT("1:"&amp;LEN(C31)+1)),1)*1)*(MID(C31&amp;" ",ROW(INDIRECT("1:"&amp;LEN(C31)+1)),1)&lt;&gt;".")*(MID(C31&amp;" ",ROW(INDIRECT("1:"&amp;LEN(C31)+1)),1)&lt;&gt;"-")),1)-1),C31)</f>
        <v>2.04</v>
      </c>
      <c r="H31" t="str" cm="1">
        <f t="array" ref="H31">_xlfn.XLOOKUP(TRUE,ISNUMBER(SEARCH({"easy";"medium";"moderate";"hard"},C31)),{"easy";"medium";"moderate";"hard"},"")</f>
        <v/>
      </c>
      <c r="I31" t="s">
        <v>115</v>
      </c>
      <c r="J31" s="1" t="str">
        <f t="shared" ca="1" si="0"/>
        <v/>
      </c>
      <c r="K31" s="4">
        <f t="shared" si="1"/>
        <v>109</v>
      </c>
    </row>
    <row r="32" spans="1:11" x14ac:dyDescent="0.3">
      <c r="A32">
        <f t="shared" si="2"/>
        <v>30</v>
      </c>
      <c r="C32">
        <v>2.56</v>
      </c>
      <c r="D32" t="s">
        <v>10</v>
      </c>
      <c r="E32">
        <v>30</v>
      </c>
      <c r="F32" s="2">
        <v>2.56</v>
      </c>
      <c r="G32" t="str" cm="1">
        <f t="array" aca="1" ref="G32" ca="1">IFERROR(LEFT(C32,_xlfn.AGGREGATE(15,6,ROW(INDIRECT("1:"&amp;LEN(C32)+1))/(ISERROR(MID(C32&amp;" ",ROW(INDIRECT("1:"&amp;LEN(C32)+1)),1)*1)*(MID(C32&amp;" ",ROW(INDIRECT("1:"&amp;LEN(C32)+1)),1)&lt;&gt;".")*(MID(C32&amp;" ",ROW(INDIRECT("1:"&amp;LEN(C32)+1)),1)&lt;&gt;"-")),1)-1),C32)</f>
        <v>2.56</v>
      </c>
      <c r="H32" t="str" cm="1">
        <f t="array" ref="H32">_xlfn.XLOOKUP(TRUE,ISNUMBER(SEARCH({"easy";"medium";"moderate";"hard"},C32)),{"easy";"medium";"moderate";"hard"},"")</f>
        <v/>
      </c>
      <c r="I32" t="s">
        <v>115</v>
      </c>
      <c r="J32" s="1" t="str">
        <f t="shared" ca="1" si="0"/>
        <v/>
      </c>
      <c r="K32" s="4">
        <f t="shared" si="1"/>
        <v>100</v>
      </c>
    </row>
    <row r="33" spans="1:11" x14ac:dyDescent="0.3">
      <c r="A33">
        <f t="shared" si="2"/>
        <v>31</v>
      </c>
      <c r="C33">
        <v>16</v>
      </c>
      <c r="D33" t="s">
        <v>11</v>
      </c>
      <c r="E33">
        <v>31</v>
      </c>
      <c r="F33" s="2">
        <v>16</v>
      </c>
      <c r="G33" t="str" cm="1">
        <f t="array" aca="1" ref="G33" ca="1">IFERROR(LEFT(C33,_xlfn.AGGREGATE(15,6,ROW(INDIRECT("1:"&amp;LEN(C33)+1))/(ISERROR(MID(C33&amp;" ",ROW(INDIRECT("1:"&amp;LEN(C33)+1)),1)*1)*(MID(C33&amp;" ",ROW(INDIRECT("1:"&amp;LEN(C33)+1)),1)&lt;&gt;".")*(MID(C33&amp;" ",ROW(INDIRECT("1:"&amp;LEN(C33)+1)),1)&lt;&gt;"-")),1)-1),C33)</f>
        <v>16</v>
      </c>
      <c r="H33" t="str" cm="1">
        <f t="array" ref="H33">_xlfn.XLOOKUP(TRUE,ISNUMBER(SEARCH({"easy";"medium";"moderate";"hard"},C33)),{"easy";"medium";"moderate";"hard"},"")</f>
        <v/>
      </c>
      <c r="I33" t="s">
        <v>115</v>
      </c>
      <c r="J33" s="1" t="str">
        <f t="shared" ca="1" si="0"/>
        <v/>
      </c>
      <c r="K33" s="4">
        <f t="shared" si="1"/>
        <v>101</v>
      </c>
    </row>
    <row r="34" spans="1:11" x14ac:dyDescent="0.3">
      <c r="A34">
        <f t="shared" si="2"/>
        <v>32</v>
      </c>
      <c r="C34">
        <v>1.33</v>
      </c>
      <c r="D34" t="s">
        <v>12</v>
      </c>
      <c r="E34">
        <v>32</v>
      </c>
      <c r="F34" s="2">
        <v>1.33</v>
      </c>
      <c r="G34" t="str" cm="1">
        <f t="array" aca="1" ref="G34" ca="1">IFERROR(LEFT(C34,_xlfn.AGGREGATE(15,6,ROW(INDIRECT("1:"&amp;LEN(C34)+1))/(ISERROR(MID(C34&amp;" ",ROW(INDIRECT("1:"&amp;LEN(C34)+1)),1)*1)*(MID(C34&amp;" ",ROW(INDIRECT("1:"&amp;LEN(C34)+1)),1)&lt;&gt;".")*(MID(C34&amp;" ",ROW(INDIRECT("1:"&amp;LEN(C34)+1)),1)&lt;&gt;"-")),1)-1),C34)</f>
        <v>1.33</v>
      </c>
      <c r="H34" t="str" cm="1">
        <f t="array" ref="H34">_xlfn.XLOOKUP(TRUE,ISNUMBER(SEARCH({"easy";"medium";"moderate";"hard"},C34)),{"easy";"medium";"moderate";"hard"},"")</f>
        <v/>
      </c>
      <c r="I34" t="s">
        <v>115</v>
      </c>
      <c r="J34" s="1" t="str">
        <f t="shared" ca="1" si="0"/>
        <v/>
      </c>
      <c r="K34" s="4">
        <f t="shared" si="1"/>
        <v>102</v>
      </c>
    </row>
    <row r="35" spans="1:11" x14ac:dyDescent="0.3">
      <c r="A35">
        <f t="shared" si="2"/>
        <v>33</v>
      </c>
      <c r="C35">
        <v>-1</v>
      </c>
      <c r="D35" t="s">
        <v>13</v>
      </c>
      <c r="E35">
        <v>33</v>
      </c>
      <c r="F35" s="2">
        <v>-1</v>
      </c>
      <c r="G35" t="str" cm="1">
        <f t="array" aca="1" ref="G35" ca="1">IFERROR(LEFT(C35,_xlfn.AGGREGATE(15,6,ROW(INDIRECT("1:"&amp;LEN(C35)+1))/(ISERROR(MID(C35&amp;" ",ROW(INDIRECT("1:"&amp;LEN(C35)+1)),1)*1)*(MID(C35&amp;" ",ROW(INDIRECT("1:"&amp;LEN(C35)+1)),1)&lt;&gt;".")*(MID(C35&amp;" ",ROW(INDIRECT("1:"&amp;LEN(C35)+1)),1)&lt;&gt;"-")),1)-1),C35)</f>
        <v>-1</v>
      </c>
      <c r="H35" t="str" cm="1">
        <f t="array" ref="H35">_xlfn.XLOOKUP(TRUE,ISNUMBER(SEARCH({"easy";"medium";"moderate";"hard"},C35)),{"easy";"medium";"moderate";"hard"},"")</f>
        <v/>
      </c>
      <c r="I35" t="s">
        <v>115</v>
      </c>
      <c r="J35" s="1" t="str">
        <f t="shared" ca="1" si="0"/>
        <v/>
      </c>
      <c r="K35" s="4">
        <f t="shared" si="1"/>
        <v>103</v>
      </c>
    </row>
    <row r="36" spans="1:11" x14ac:dyDescent="0.3">
      <c r="A36">
        <f t="shared" si="2"/>
        <v>34</v>
      </c>
      <c r="C36">
        <v>21</v>
      </c>
      <c r="D36" t="s">
        <v>14</v>
      </c>
      <c r="E36">
        <v>34</v>
      </c>
      <c r="F36" s="2">
        <v>21</v>
      </c>
      <c r="G36" t="str" cm="1">
        <f t="array" aca="1" ref="G36" ca="1">IFERROR(LEFT(C36,_xlfn.AGGREGATE(15,6,ROW(INDIRECT("1:"&amp;LEN(C36)+1))/(ISERROR(MID(C36&amp;" ",ROW(INDIRECT("1:"&amp;LEN(C36)+1)),1)*1)*(MID(C36&amp;" ",ROW(INDIRECT("1:"&amp;LEN(C36)+1)),1)&lt;&gt;".")*(MID(C36&amp;" ",ROW(INDIRECT("1:"&amp;LEN(C36)+1)),1)&lt;&gt;"-")),1)-1),C36)</f>
        <v>21</v>
      </c>
      <c r="H36" t="str" cm="1">
        <f t="array" ref="H36">_xlfn.XLOOKUP(TRUE,ISNUMBER(SEARCH({"easy";"medium";"moderate";"hard"},C36)),{"easy";"medium";"moderate";"hard"},"")</f>
        <v/>
      </c>
      <c r="I36" t="s">
        <v>115</v>
      </c>
      <c r="J36" s="1" t="str">
        <f t="shared" ca="1" si="0"/>
        <v/>
      </c>
      <c r="K36" s="4">
        <f t="shared" si="1"/>
        <v>104</v>
      </c>
    </row>
    <row r="37" spans="1:11" x14ac:dyDescent="0.3">
      <c r="A37">
        <f t="shared" si="2"/>
        <v>35</v>
      </c>
      <c r="C37">
        <v>10</v>
      </c>
      <c r="D37" t="s">
        <v>19</v>
      </c>
      <c r="E37">
        <v>25</v>
      </c>
      <c r="F37" s="2">
        <v>10</v>
      </c>
      <c r="G37" t="str" cm="1">
        <f t="array" aca="1" ref="G37" ca="1">IFERROR(LEFT(C37,_xlfn.AGGREGATE(15,6,ROW(INDIRECT("1:"&amp;LEN(C37)+1))/(ISERROR(MID(C37&amp;" ",ROW(INDIRECT("1:"&amp;LEN(C37)+1)),1)*1)*(MID(C37&amp;" ",ROW(INDIRECT("1:"&amp;LEN(C37)+1)),1)&lt;&gt;".")*(MID(C37&amp;" ",ROW(INDIRECT("1:"&amp;LEN(C37)+1)),1)&lt;&gt;"-")),1)-1),C37)</f>
        <v>10</v>
      </c>
      <c r="H37" t="str" cm="1">
        <f t="array" ref="H37">_xlfn.XLOOKUP(TRUE,ISNUMBER(SEARCH({"easy";"medium";"moderate";"hard"},C37)),{"easy";"medium";"moderate";"hard"},"")</f>
        <v/>
      </c>
      <c r="I37" t="s">
        <v>115</v>
      </c>
      <c r="J37" s="1" t="str">
        <f t="shared" ca="1" si="0"/>
        <v/>
      </c>
      <c r="K37" s="4">
        <f t="shared" si="1"/>
        <v>105</v>
      </c>
    </row>
    <row r="38" spans="1:11" x14ac:dyDescent="0.3">
      <c r="A38">
        <f t="shared" si="2"/>
        <v>36</v>
      </c>
      <c r="C38">
        <v>0.105</v>
      </c>
      <c r="D38" t="s">
        <v>47</v>
      </c>
      <c r="E38">
        <v>36</v>
      </c>
      <c r="F38" s="2">
        <v>0.105</v>
      </c>
      <c r="G38" t="str" cm="1">
        <f t="array" aca="1" ref="G38" ca="1">IFERROR(LEFT(C38,_xlfn.AGGREGATE(15,6,ROW(INDIRECT("1:"&amp;LEN(C38)+1))/(ISERROR(MID(C38&amp;" ",ROW(INDIRECT("1:"&amp;LEN(C38)+1)),1)*1)*(MID(C38&amp;" ",ROW(INDIRECT("1:"&amp;LEN(C38)+1)),1)&lt;&gt;".")*(MID(C38&amp;" ",ROW(INDIRECT("1:"&amp;LEN(C38)+1)),1)&lt;&gt;"-")),1)-1),C38)</f>
        <v>0.105</v>
      </c>
      <c r="H38" t="str" cm="1">
        <f t="array" ref="H38">_xlfn.XLOOKUP(TRUE,ISNUMBER(SEARCH({"easy";"medium";"moderate";"hard"},C38)),{"easy";"medium";"moderate";"hard"},"")</f>
        <v/>
      </c>
      <c r="I38" t="s">
        <v>115</v>
      </c>
      <c r="J38" s="1" t="str">
        <f t="shared" ca="1" si="0"/>
        <v/>
      </c>
      <c r="K38" s="4">
        <f t="shared" si="1"/>
        <v>106</v>
      </c>
    </row>
    <row r="39" spans="1:11" x14ac:dyDescent="0.3">
      <c r="A39">
        <f t="shared" si="2"/>
        <v>37</v>
      </c>
      <c r="C39">
        <v>9.6000000000000002E-2</v>
      </c>
      <c r="D39" t="s">
        <v>48</v>
      </c>
      <c r="E39">
        <v>37</v>
      </c>
      <c r="F39" s="2">
        <v>9.6000000000000002E-2</v>
      </c>
      <c r="G39" t="str" cm="1">
        <f t="array" aca="1" ref="G39" ca="1">IFERROR(LEFT(C39,_xlfn.AGGREGATE(15,6,ROW(INDIRECT("1:"&amp;LEN(C39)+1))/(ISERROR(MID(C39&amp;" ",ROW(INDIRECT("1:"&amp;LEN(C39)+1)),1)*1)*(MID(C39&amp;" ",ROW(INDIRECT("1:"&amp;LEN(C39)+1)),1)&lt;&gt;".")*(MID(C39&amp;" ",ROW(INDIRECT("1:"&amp;LEN(C39)+1)),1)&lt;&gt;"-")),1)-1),C39)</f>
        <v>0.096</v>
      </c>
      <c r="H39" t="str" cm="1">
        <f t="array" ref="H39">_xlfn.XLOOKUP(TRUE,ISNUMBER(SEARCH({"easy";"medium";"moderate";"hard"},C39)),{"easy";"medium";"moderate";"hard"},"")</f>
        <v/>
      </c>
      <c r="I39" t="s">
        <v>115</v>
      </c>
      <c r="J39" s="1" t="str">
        <f t="shared" ca="1" si="0"/>
        <v/>
      </c>
      <c r="K39" s="4">
        <f t="shared" si="1"/>
        <v>107</v>
      </c>
    </row>
    <row r="40" spans="1:11" x14ac:dyDescent="0.3">
      <c r="A40">
        <f t="shared" si="2"/>
        <v>38</v>
      </c>
      <c r="C40">
        <v>1.33</v>
      </c>
      <c r="D40" t="s">
        <v>49</v>
      </c>
      <c r="E40">
        <v>38</v>
      </c>
      <c r="F40" s="2">
        <v>1.33</v>
      </c>
      <c r="G40" t="str" cm="1">
        <f t="array" aca="1" ref="G40" ca="1">IFERROR(LEFT(C40,_xlfn.AGGREGATE(15,6,ROW(INDIRECT("1:"&amp;LEN(C40)+1))/(ISERROR(MID(C40&amp;" ",ROW(INDIRECT("1:"&amp;LEN(C40)+1)),1)*1)*(MID(C40&amp;" ",ROW(INDIRECT("1:"&amp;LEN(C40)+1)),1)&lt;&gt;".")*(MID(C40&amp;" ",ROW(INDIRECT("1:"&amp;LEN(C40)+1)),1)&lt;&gt;"-")),1)-1),C40)</f>
        <v>1.33</v>
      </c>
      <c r="H40" t="str" cm="1">
        <f t="array" ref="H40">_xlfn.XLOOKUP(TRUE,ISNUMBER(SEARCH({"easy";"medium";"moderate";"hard"},C40)),{"easy";"medium";"moderate";"hard"},"")</f>
        <v/>
      </c>
      <c r="I40" t="s">
        <v>115</v>
      </c>
      <c r="J40" s="1" t="str">
        <f t="shared" ca="1" si="0"/>
        <v/>
      </c>
      <c r="K40" s="4">
        <f t="shared" si="1"/>
        <v>108</v>
      </c>
    </row>
    <row r="41" spans="1:11" x14ac:dyDescent="0.3">
      <c r="A41">
        <f t="shared" si="2"/>
        <v>39</v>
      </c>
      <c r="C41">
        <v>942</v>
      </c>
      <c r="D41" t="s">
        <v>50</v>
      </c>
      <c r="E41">
        <v>39</v>
      </c>
      <c r="F41" s="2">
        <v>942</v>
      </c>
      <c r="G41" t="str" cm="1">
        <f t="array" aca="1" ref="G41" ca="1">IFERROR(LEFT(C41,_xlfn.AGGREGATE(15,6,ROW(INDIRECT("1:"&amp;LEN(C41)+1))/(ISERROR(MID(C41&amp;" ",ROW(INDIRECT("1:"&amp;LEN(C41)+1)),1)*1)*(MID(C41&amp;" ",ROW(INDIRECT("1:"&amp;LEN(C41)+1)),1)&lt;&gt;".")*(MID(C41&amp;" ",ROW(INDIRECT("1:"&amp;LEN(C41)+1)),1)&lt;&gt;"-")),1)-1),C41)</f>
        <v>942</v>
      </c>
      <c r="H41" t="str" cm="1">
        <f t="array" ref="H41">_xlfn.XLOOKUP(TRUE,ISNUMBER(SEARCH({"easy";"medium";"moderate";"hard"},C41)),{"easy";"medium";"moderate";"hard"},"")</f>
        <v/>
      </c>
      <c r="I41" t="s">
        <v>115</v>
      </c>
      <c r="J41" s="1" t="str">
        <f t="shared" ca="1" si="0"/>
        <v/>
      </c>
      <c r="K41" s="4">
        <f t="shared" si="1"/>
        <v>109</v>
      </c>
    </row>
    <row r="42" spans="1:11" x14ac:dyDescent="0.3">
      <c r="A42">
        <f t="shared" si="2"/>
        <v>40</v>
      </c>
      <c r="C42">
        <v>1.33</v>
      </c>
      <c r="D42" t="s">
        <v>51</v>
      </c>
      <c r="E42">
        <v>40</v>
      </c>
      <c r="F42" s="2">
        <v>1.33</v>
      </c>
      <c r="G42" t="str" cm="1">
        <f t="array" aca="1" ref="G42" ca="1">IFERROR(LEFT(C42,_xlfn.AGGREGATE(15,6,ROW(INDIRECT("1:"&amp;LEN(C42)+1))/(ISERROR(MID(C42&amp;" ",ROW(INDIRECT("1:"&amp;LEN(C42)+1)),1)*1)*(MID(C42&amp;" ",ROW(INDIRECT("1:"&amp;LEN(C42)+1)),1)&lt;&gt;".")*(MID(C42&amp;" ",ROW(INDIRECT("1:"&amp;LEN(C42)+1)),1)&lt;&gt;"-")),1)-1),C42)</f>
        <v>1.33</v>
      </c>
      <c r="H42" t="str" cm="1">
        <f t="array" ref="H42">_xlfn.XLOOKUP(TRUE,ISNUMBER(SEARCH({"easy";"medium";"moderate";"hard"},C42)),{"easy";"medium";"moderate";"hard"},"")</f>
        <v/>
      </c>
      <c r="I42" t="s">
        <v>115</v>
      </c>
      <c r="J42" s="1" t="str">
        <f t="shared" ca="1" si="0"/>
        <v/>
      </c>
      <c r="K42" s="4">
        <f t="shared" si="1"/>
        <v>100</v>
      </c>
    </row>
    <row r="43" spans="1:11" x14ac:dyDescent="0.3">
      <c r="A43">
        <f t="shared" si="2"/>
        <v>41</v>
      </c>
      <c r="C43">
        <v>8</v>
      </c>
      <c r="D43" t="s">
        <v>52</v>
      </c>
      <c r="E43">
        <v>41</v>
      </c>
      <c r="F43" s="2">
        <v>8</v>
      </c>
      <c r="G43" t="str" cm="1">
        <f t="array" aca="1" ref="G43" ca="1">IFERROR(LEFT(C43,_xlfn.AGGREGATE(15,6,ROW(INDIRECT("1:"&amp;LEN(C43)+1))/(ISERROR(MID(C43&amp;" ",ROW(INDIRECT("1:"&amp;LEN(C43)+1)),1)*1)*(MID(C43&amp;" ",ROW(INDIRECT("1:"&amp;LEN(C43)+1)),1)&lt;&gt;".")*(MID(C43&amp;" ",ROW(INDIRECT("1:"&amp;LEN(C43)+1)),1)&lt;&gt;"-")),1)-1),C43)</f>
        <v>8</v>
      </c>
      <c r="H43" t="str" cm="1">
        <f t="array" ref="H43">_xlfn.XLOOKUP(TRUE,ISNUMBER(SEARCH({"easy";"medium";"moderate";"hard"},C43)),{"easy";"medium";"moderate";"hard"},"")</f>
        <v/>
      </c>
      <c r="I43" t="s">
        <v>115</v>
      </c>
      <c r="J43" s="1" t="str">
        <f t="shared" ca="1" si="0"/>
        <v/>
      </c>
      <c r="K43" s="4">
        <f t="shared" si="1"/>
        <v>101</v>
      </c>
    </row>
    <row r="44" spans="1:11" x14ac:dyDescent="0.3">
      <c r="A44">
        <f t="shared" si="2"/>
        <v>42</v>
      </c>
      <c r="C44">
        <v>-10</v>
      </c>
      <c r="D44" t="s">
        <v>52</v>
      </c>
      <c r="E44">
        <v>42</v>
      </c>
      <c r="F44" s="2">
        <v>-10</v>
      </c>
      <c r="G44" t="str" cm="1">
        <f t="array" aca="1" ref="G44" ca="1">IFERROR(LEFT(C44,_xlfn.AGGREGATE(15,6,ROW(INDIRECT("1:"&amp;LEN(C44)+1))/(ISERROR(MID(C44&amp;" ",ROW(INDIRECT("1:"&amp;LEN(C44)+1)),1)*1)*(MID(C44&amp;" ",ROW(INDIRECT("1:"&amp;LEN(C44)+1)),1)&lt;&gt;".")*(MID(C44&amp;" ",ROW(INDIRECT("1:"&amp;LEN(C44)+1)),1)&lt;&gt;"-")),1)-1),C44)</f>
        <v>-10</v>
      </c>
      <c r="H44" t="str" cm="1">
        <f t="array" ref="H44">_xlfn.XLOOKUP(TRUE,ISNUMBER(SEARCH({"easy";"medium";"moderate";"hard"},C44)),{"easy";"medium";"moderate";"hard"},"")</f>
        <v/>
      </c>
      <c r="I44" t="s">
        <v>115</v>
      </c>
      <c r="J44" s="1" t="str">
        <f t="shared" ca="1" si="0"/>
        <v/>
      </c>
      <c r="K44" s="4">
        <f t="shared" si="1"/>
        <v>102</v>
      </c>
    </row>
    <row r="45" spans="1:11" x14ac:dyDescent="0.3">
      <c r="A45">
        <f t="shared" si="2"/>
        <v>43</v>
      </c>
      <c r="C45">
        <v>3</v>
      </c>
      <c r="D45" t="s">
        <v>53</v>
      </c>
      <c r="E45">
        <v>43</v>
      </c>
      <c r="F45" s="2">
        <v>3</v>
      </c>
      <c r="G45" t="str" cm="1">
        <f t="array" aca="1" ref="G45" ca="1">IFERROR(LEFT(C45,_xlfn.AGGREGATE(15,6,ROW(INDIRECT("1:"&amp;LEN(C45)+1))/(ISERROR(MID(C45&amp;" ",ROW(INDIRECT("1:"&amp;LEN(C45)+1)),1)*1)*(MID(C45&amp;" ",ROW(INDIRECT("1:"&amp;LEN(C45)+1)),1)&lt;&gt;".")*(MID(C45&amp;" ",ROW(INDIRECT("1:"&amp;LEN(C45)+1)),1)&lt;&gt;"-")),1)-1),C45)</f>
        <v>3</v>
      </c>
      <c r="H45" t="str" cm="1">
        <f t="array" ref="H45">_xlfn.XLOOKUP(TRUE,ISNUMBER(SEARCH({"easy";"medium";"moderate";"hard"},C45)),{"easy";"medium";"moderate";"hard"},"")</f>
        <v/>
      </c>
      <c r="I45" t="s">
        <v>115</v>
      </c>
      <c r="J45" s="1" t="str">
        <f t="shared" ca="1" si="0"/>
        <v/>
      </c>
      <c r="K45" s="4">
        <f t="shared" si="1"/>
        <v>103</v>
      </c>
    </row>
    <row r="46" spans="1:11" x14ac:dyDescent="0.3">
      <c r="A46">
        <f t="shared" si="2"/>
        <v>44</v>
      </c>
      <c r="C46">
        <v>6</v>
      </c>
      <c r="D46" t="s">
        <v>54</v>
      </c>
      <c r="E46">
        <v>44</v>
      </c>
      <c r="F46" s="2">
        <v>6</v>
      </c>
      <c r="G46" t="str" cm="1">
        <f t="array" aca="1" ref="G46" ca="1">IFERROR(LEFT(C46,_xlfn.AGGREGATE(15,6,ROW(INDIRECT("1:"&amp;LEN(C46)+1))/(ISERROR(MID(C46&amp;" ",ROW(INDIRECT("1:"&amp;LEN(C46)+1)),1)*1)*(MID(C46&amp;" ",ROW(INDIRECT("1:"&amp;LEN(C46)+1)),1)&lt;&gt;".")*(MID(C46&amp;" ",ROW(INDIRECT("1:"&amp;LEN(C46)+1)),1)&lt;&gt;"-")),1)-1),C46)</f>
        <v>6</v>
      </c>
      <c r="H46" t="str" cm="1">
        <f t="array" ref="H46">_xlfn.XLOOKUP(TRUE,ISNUMBER(SEARCH({"easy";"medium";"moderate";"hard"},C46)),{"easy";"medium";"moderate";"hard"},"")</f>
        <v/>
      </c>
      <c r="I46" t="s">
        <v>115</v>
      </c>
      <c r="J46" s="1" t="str">
        <f t="shared" ca="1" si="0"/>
        <v/>
      </c>
      <c r="K46" s="4">
        <f t="shared" si="1"/>
        <v>104</v>
      </c>
    </row>
    <row r="47" spans="1:11" x14ac:dyDescent="0.3">
      <c r="A47">
        <f t="shared" si="2"/>
        <v>45</v>
      </c>
      <c r="C47">
        <v>3</v>
      </c>
      <c r="D47" t="s">
        <v>55</v>
      </c>
      <c r="E47">
        <v>45</v>
      </c>
      <c r="F47" s="2">
        <v>3</v>
      </c>
      <c r="G47" t="str" cm="1">
        <f t="array" aca="1" ref="G47" ca="1">IFERROR(LEFT(C47,_xlfn.AGGREGATE(15,6,ROW(INDIRECT("1:"&amp;LEN(C47)+1))/(ISERROR(MID(C47&amp;" ",ROW(INDIRECT("1:"&amp;LEN(C47)+1)),1)*1)*(MID(C47&amp;" ",ROW(INDIRECT("1:"&amp;LEN(C47)+1)),1)&lt;&gt;".")*(MID(C47&amp;" ",ROW(INDIRECT("1:"&amp;LEN(C47)+1)),1)&lt;&gt;"-")),1)-1),C47)</f>
        <v>3</v>
      </c>
      <c r="H47" t="str" cm="1">
        <f t="array" ref="H47">_xlfn.XLOOKUP(TRUE,ISNUMBER(SEARCH({"easy";"medium";"moderate";"hard"},C47)),{"easy";"medium";"moderate";"hard"},"")</f>
        <v/>
      </c>
      <c r="I47" t="s">
        <v>115</v>
      </c>
      <c r="J47" s="1" t="str">
        <f t="shared" ca="1" si="0"/>
        <v/>
      </c>
      <c r="K47" s="4">
        <f t="shared" si="1"/>
        <v>105</v>
      </c>
    </row>
    <row r="48" spans="1:11" x14ac:dyDescent="0.3">
      <c r="A48">
        <f t="shared" si="2"/>
        <v>46</v>
      </c>
      <c r="C48">
        <v>1.75</v>
      </c>
      <c r="D48" t="s">
        <v>56</v>
      </c>
      <c r="E48">
        <v>46</v>
      </c>
      <c r="F48" s="2">
        <v>1.75</v>
      </c>
      <c r="G48" t="str" cm="1">
        <f t="array" aca="1" ref="G48" ca="1">IFERROR(LEFT(C48,_xlfn.AGGREGATE(15,6,ROW(INDIRECT("1:"&amp;LEN(C48)+1))/(ISERROR(MID(C48&amp;" ",ROW(INDIRECT("1:"&amp;LEN(C48)+1)),1)*1)*(MID(C48&amp;" ",ROW(INDIRECT("1:"&amp;LEN(C48)+1)),1)&lt;&gt;".")*(MID(C48&amp;" ",ROW(INDIRECT("1:"&amp;LEN(C48)+1)),1)&lt;&gt;"-")),1)-1),C48)</f>
        <v>1.75</v>
      </c>
      <c r="H48" t="str" cm="1">
        <f t="array" ref="H48">_xlfn.XLOOKUP(TRUE,ISNUMBER(SEARCH({"easy";"medium";"moderate";"hard"},C48)),{"easy";"medium";"moderate";"hard"},"")</f>
        <v/>
      </c>
      <c r="I48" t="s">
        <v>115</v>
      </c>
      <c r="J48" s="1" t="str">
        <f t="shared" ca="1" si="0"/>
        <v/>
      </c>
      <c r="K48" s="4">
        <f t="shared" si="1"/>
        <v>106</v>
      </c>
    </row>
    <row r="49" spans="1:11" x14ac:dyDescent="0.3">
      <c r="A49">
        <f>A48+1</f>
        <v>47</v>
      </c>
      <c r="C49">
        <v>45</v>
      </c>
      <c r="D49" t="s">
        <v>57</v>
      </c>
      <c r="E49">
        <v>47</v>
      </c>
      <c r="F49" s="2">
        <v>45</v>
      </c>
      <c r="G49" t="str" cm="1">
        <f t="array" aca="1" ref="G49" ca="1">IFERROR(LEFT(C49,_xlfn.AGGREGATE(15,6,ROW(INDIRECT("1:"&amp;LEN(C49)+1))/(ISERROR(MID(C49&amp;" ",ROW(INDIRECT("1:"&amp;LEN(C49)+1)),1)*1)*(MID(C49&amp;" ",ROW(INDIRECT("1:"&amp;LEN(C49)+1)),1)&lt;&gt;".")*(MID(C49&amp;" ",ROW(INDIRECT("1:"&amp;LEN(C49)+1)),1)&lt;&gt;"-")),1)-1),C49)</f>
        <v>45</v>
      </c>
      <c r="H49" t="str" cm="1">
        <f t="array" ref="H49">_xlfn.XLOOKUP(TRUE,ISNUMBER(SEARCH({"easy";"medium";"moderate";"hard"},C49)),{"easy";"medium";"moderate";"hard"},"")</f>
        <v/>
      </c>
      <c r="I49" t="s">
        <v>115</v>
      </c>
      <c r="J49" s="1" t="str">
        <f t="shared" ca="1" si="0"/>
        <v/>
      </c>
      <c r="K49" s="4">
        <f t="shared" si="1"/>
        <v>107</v>
      </c>
    </row>
    <row r="50" spans="1:11" x14ac:dyDescent="0.3">
      <c r="A50">
        <f t="shared" si="2"/>
        <v>48</v>
      </c>
      <c r="C50">
        <v>2.25</v>
      </c>
      <c r="D50" t="s">
        <v>58</v>
      </c>
      <c r="E50">
        <v>48</v>
      </c>
      <c r="F50" s="2">
        <v>2.25</v>
      </c>
      <c r="G50" t="str" cm="1">
        <f t="array" aca="1" ref="G50" ca="1">IFERROR(LEFT(C50,_xlfn.AGGREGATE(15,6,ROW(INDIRECT("1:"&amp;LEN(C50)+1))/(ISERROR(MID(C50&amp;" ",ROW(INDIRECT("1:"&amp;LEN(C50)+1)),1)*1)*(MID(C50&amp;" ",ROW(INDIRECT("1:"&amp;LEN(C50)+1)),1)&lt;&gt;".")*(MID(C50&amp;" ",ROW(INDIRECT("1:"&amp;LEN(C50)+1)),1)&lt;&gt;"-")),1)-1),C50)</f>
        <v>2.25</v>
      </c>
      <c r="H50" t="str" cm="1">
        <f t="array" ref="H50">_xlfn.XLOOKUP(TRUE,ISNUMBER(SEARCH({"easy";"medium";"moderate";"hard"},C50)),{"easy";"medium";"moderate";"hard"},"")</f>
        <v/>
      </c>
      <c r="I50" t="s">
        <v>115</v>
      </c>
      <c r="J50" s="1" t="str">
        <f t="shared" ca="1" si="0"/>
        <v/>
      </c>
      <c r="K50" s="4">
        <f t="shared" si="1"/>
        <v>108</v>
      </c>
    </row>
    <row r="51" spans="1:11" x14ac:dyDescent="0.3">
      <c r="A51">
        <f>A50+1</f>
        <v>49</v>
      </c>
      <c r="C51">
        <v>3</v>
      </c>
      <c r="D51" t="s">
        <v>59</v>
      </c>
      <c r="E51">
        <v>49</v>
      </c>
      <c r="F51" s="2">
        <v>3</v>
      </c>
      <c r="G51" t="str" cm="1">
        <f t="array" aca="1" ref="G51" ca="1">IFERROR(LEFT(C51,_xlfn.AGGREGATE(15,6,ROW(INDIRECT("1:"&amp;LEN(C51)+1))/(ISERROR(MID(C51&amp;" ",ROW(INDIRECT("1:"&amp;LEN(C51)+1)),1)*1)*(MID(C51&amp;" ",ROW(INDIRECT("1:"&amp;LEN(C51)+1)),1)&lt;&gt;".")*(MID(C51&amp;" ",ROW(INDIRECT("1:"&amp;LEN(C51)+1)),1)&lt;&gt;"-")),1)-1),C51)</f>
        <v>3</v>
      </c>
      <c r="H51" t="str" cm="1">
        <f t="array" ref="H51">_xlfn.XLOOKUP(TRUE,ISNUMBER(SEARCH({"easy";"medium";"moderate";"hard"},C51)),{"easy";"medium";"moderate";"hard"},"")</f>
        <v/>
      </c>
      <c r="I51" t="s">
        <v>115</v>
      </c>
      <c r="J51" s="1" t="str">
        <f t="shared" ca="1" si="0"/>
        <v/>
      </c>
      <c r="K51" s="4">
        <f t="shared" si="1"/>
        <v>109</v>
      </c>
    </row>
    <row r="52" spans="1:11" x14ac:dyDescent="0.3">
      <c r="A52">
        <f>A51+1</f>
        <v>50</v>
      </c>
      <c r="C52">
        <v>-7.4099999999999999E-2</v>
      </c>
      <c r="D52" t="s">
        <v>60</v>
      </c>
      <c r="E52">
        <v>50</v>
      </c>
      <c r="F52" s="2">
        <v>-7.4099999999999999E-2</v>
      </c>
      <c r="G52" t="str" cm="1">
        <f t="array" aca="1" ref="G52" ca="1">IFERROR(LEFT(C52,_xlfn.AGGREGATE(15,6,ROW(INDIRECT("1:"&amp;LEN(C52)+1))/(ISERROR(MID(C52&amp;" ",ROW(INDIRECT("1:"&amp;LEN(C52)+1)),1)*1)*(MID(C52&amp;" ",ROW(INDIRECT("1:"&amp;LEN(C52)+1)),1)&lt;&gt;".")*(MID(C52&amp;" ",ROW(INDIRECT("1:"&amp;LEN(C52)+1)),1)&lt;&gt;"-")),1)-1),C52)</f>
        <v>-0.0741</v>
      </c>
      <c r="H52" t="str" cm="1">
        <f t="array" ref="H52">_xlfn.XLOOKUP(TRUE,ISNUMBER(SEARCH({"easy";"medium";"moderate";"hard"},C52)),{"easy";"medium";"moderate";"hard"},"")</f>
        <v/>
      </c>
      <c r="I52" t="s">
        <v>115</v>
      </c>
      <c r="J52" s="1" t="str">
        <f t="shared" ca="1" si="0"/>
        <v/>
      </c>
      <c r="K52" s="4">
        <f t="shared" si="1"/>
        <v>100</v>
      </c>
    </row>
    <row r="53" spans="1:11" x14ac:dyDescent="0.3">
      <c r="A53">
        <f t="shared" ref="A53:A97" si="3">A52+1</f>
        <v>51</v>
      </c>
      <c r="C53">
        <v>13</v>
      </c>
      <c r="D53" t="s">
        <v>61</v>
      </c>
      <c r="E53">
        <v>51</v>
      </c>
      <c r="F53" s="2">
        <v>13</v>
      </c>
      <c r="G53" t="str" cm="1">
        <f t="array" aca="1" ref="G53" ca="1">IFERROR(LEFT(C53,_xlfn.AGGREGATE(15,6,ROW(INDIRECT("1:"&amp;LEN(C53)+1))/(ISERROR(MID(C53&amp;" ",ROW(INDIRECT("1:"&amp;LEN(C53)+1)),1)*1)*(MID(C53&amp;" ",ROW(INDIRECT("1:"&amp;LEN(C53)+1)),1)&lt;&gt;".")*(MID(C53&amp;" ",ROW(INDIRECT("1:"&amp;LEN(C53)+1)),1)&lt;&gt;"-")),1)-1),C53)</f>
        <v>13</v>
      </c>
      <c r="H53" t="str" cm="1">
        <f t="array" ref="H53">_xlfn.XLOOKUP(TRUE,ISNUMBER(SEARCH({"easy";"medium";"moderate";"hard"},C53)),{"easy";"medium";"moderate";"hard"},"")</f>
        <v/>
      </c>
      <c r="I53" t="s">
        <v>115</v>
      </c>
      <c r="J53" s="1" t="str">
        <f t="shared" ca="1" si="0"/>
        <v/>
      </c>
      <c r="K53" s="4">
        <f t="shared" si="1"/>
        <v>101</v>
      </c>
    </row>
    <row r="54" spans="1:11" x14ac:dyDescent="0.3">
      <c r="A54">
        <f t="shared" si="3"/>
        <v>52</v>
      </c>
      <c r="C54">
        <v>13</v>
      </c>
      <c r="D54" t="s">
        <v>63</v>
      </c>
      <c r="E54">
        <v>52</v>
      </c>
      <c r="F54" s="2">
        <v>13</v>
      </c>
      <c r="G54" t="str" cm="1">
        <f t="array" aca="1" ref="G54" ca="1">IFERROR(LEFT(C54,_xlfn.AGGREGATE(15,6,ROW(INDIRECT("1:"&amp;LEN(C54)+1))/(ISERROR(MID(C54&amp;" ",ROW(INDIRECT("1:"&amp;LEN(C54)+1)),1)*1)*(MID(C54&amp;" ",ROW(INDIRECT("1:"&amp;LEN(C54)+1)),1)&lt;&gt;".")*(MID(C54&amp;" ",ROW(INDIRECT("1:"&amp;LEN(C54)+1)),1)&lt;&gt;"-")),1)-1),C54)</f>
        <v>13</v>
      </c>
      <c r="H54" t="str" cm="1">
        <f t="array" ref="H54">_xlfn.XLOOKUP(TRUE,ISNUMBER(SEARCH({"easy";"medium";"moderate";"hard"},C54)),{"easy";"medium";"moderate";"hard"},"")</f>
        <v/>
      </c>
      <c r="I54" t="s">
        <v>115</v>
      </c>
      <c r="J54" s="1" t="str">
        <f t="shared" ca="1" si="0"/>
        <v/>
      </c>
      <c r="K54" s="4">
        <f t="shared" si="1"/>
        <v>102</v>
      </c>
    </row>
    <row r="55" spans="1:11" x14ac:dyDescent="0.3">
      <c r="A55">
        <f t="shared" si="3"/>
        <v>53</v>
      </c>
      <c r="C55">
        <v>20</v>
      </c>
      <c r="D55" t="s">
        <v>64</v>
      </c>
      <c r="E55">
        <v>53</v>
      </c>
      <c r="F55" s="2">
        <v>20</v>
      </c>
      <c r="G55" t="str" cm="1">
        <f t="array" aca="1" ref="G55" ca="1">IFERROR(LEFT(C55,_xlfn.AGGREGATE(15,6,ROW(INDIRECT("1:"&amp;LEN(C55)+1))/(ISERROR(MID(C55&amp;" ",ROW(INDIRECT("1:"&amp;LEN(C55)+1)),1)*1)*(MID(C55&amp;" ",ROW(INDIRECT("1:"&amp;LEN(C55)+1)),1)&lt;&gt;".")*(MID(C55&amp;" ",ROW(INDIRECT("1:"&amp;LEN(C55)+1)),1)&lt;&gt;"-")),1)-1),C55)</f>
        <v>20</v>
      </c>
      <c r="H55" t="str" cm="1">
        <f t="array" ref="H55">_xlfn.XLOOKUP(TRUE,ISNUMBER(SEARCH({"easy";"medium";"moderate";"hard"},C55)),{"easy";"medium";"moderate";"hard"},"")</f>
        <v/>
      </c>
      <c r="I55" t="s">
        <v>115</v>
      </c>
      <c r="J55" s="1" t="str">
        <f t="shared" ca="1" si="0"/>
        <v/>
      </c>
      <c r="K55" s="4">
        <f t="shared" si="1"/>
        <v>103</v>
      </c>
    </row>
    <row r="56" spans="1:11" x14ac:dyDescent="0.3">
      <c r="A56">
        <f t="shared" si="3"/>
        <v>54</v>
      </c>
      <c r="C56">
        <v>11</v>
      </c>
      <c r="D56" t="s">
        <v>65</v>
      </c>
      <c r="E56">
        <v>54</v>
      </c>
      <c r="F56" s="2">
        <v>11</v>
      </c>
      <c r="G56" t="str" cm="1">
        <f t="array" aca="1" ref="G56" ca="1">IFERROR(LEFT(C56,_xlfn.AGGREGATE(15,6,ROW(INDIRECT("1:"&amp;LEN(C56)+1))/(ISERROR(MID(C56&amp;" ",ROW(INDIRECT("1:"&amp;LEN(C56)+1)),1)*1)*(MID(C56&amp;" ",ROW(INDIRECT("1:"&amp;LEN(C56)+1)),1)&lt;&gt;".")*(MID(C56&amp;" ",ROW(INDIRECT("1:"&amp;LEN(C56)+1)),1)&lt;&gt;"-")),1)-1),C56)</f>
        <v>11</v>
      </c>
      <c r="H56" t="str" cm="1">
        <f t="array" ref="H56">_xlfn.XLOOKUP(TRUE,ISNUMBER(SEARCH({"easy";"medium";"moderate";"hard"},C56)),{"easy";"medium";"moderate";"hard"},"")</f>
        <v/>
      </c>
      <c r="I56" t="s">
        <v>115</v>
      </c>
      <c r="J56" s="1" t="str">
        <f t="shared" ca="1" si="0"/>
        <v/>
      </c>
      <c r="K56" s="4">
        <f t="shared" si="1"/>
        <v>104</v>
      </c>
    </row>
    <row r="57" spans="1:11" x14ac:dyDescent="0.3">
      <c r="A57">
        <f t="shared" si="3"/>
        <v>55</v>
      </c>
      <c r="C57">
        <v>-1.33</v>
      </c>
      <c r="D57" t="s">
        <v>66</v>
      </c>
      <c r="E57">
        <v>55</v>
      </c>
      <c r="F57" s="2">
        <v>-1.33</v>
      </c>
      <c r="G57" t="str" cm="1">
        <f t="array" aca="1" ref="G57" ca="1">IFERROR(LEFT(C57,_xlfn.AGGREGATE(15,6,ROW(INDIRECT("1:"&amp;LEN(C57)+1))/(ISERROR(MID(C57&amp;" ",ROW(INDIRECT("1:"&amp;LEN(C57)+1)),1)*1)*(MID(C57&amp;" ",ROW(INDIRECT("1:"&amp;LEN(C57)+1)),1)&lt;&gt;".")*(MID(C57&amp;" ",ROW(INDIRECT("1:"&amp;LEN(C57)+1)),1)&lt;&gt;"-")),1)-1),C57)</f>
        <v>-1.33</v>
      </c>
      <c r="H57" t="str" cm="1">
        <f t="array" ref="H57">_xlfn.XLOOKUP(TRUE,ISNUMBER(SEARCH({"easy";"medium";"moderate";"hard"},C57)),{"easy";"medium";"moderate";"hard"},"")</f>
        <v/>
      </c>
      <c r="I57" t="s">
        <v>115</v>
      </c>
      <c r="J57" s="1" t="str">
        <f t="shared" ca="1" si="0"/>
        <v/>
      </c>
      <c r="K57" s="4">
        <f t="shared" si="1"/>
        <v>105</v>
      </c>
    </row>
    <row r="58" spans="1:11" x14ac:dyDescent="0.3">
      <c r="A58">
        <f t="shared" si="3"/>
        <v>56</v>
      </c>
      <c r="C58">
        <v>2.5</v>
      </c>
      <c r="D58" t="s">
        <v>67</v>
      </c>
      <c r="E58">
        <v>56</v>
      </c>
      <c r="F58" s="2">
        <v>2.5</v>
      </c>
      <c r="G58" t="str" cm="1">
        <f t="array" aca="1" ref="G58" ca="1">IFERROR(LEFT(C58,_xlfn.AGGREGATE(15,6,ROW(INDIRECT("1:"&amp;LEN(C58)+1))/(ISERROR(MID(C58&amp;" ",ROW(INDIRECT("1:"&amp;LEN(C58)+1)),1)*1)*(MID(C58&amp;" ",ROW(INDIRECT("1:"&amp;LEN(C58)+1)),1)&lt;&gt;".")*(MID(C58&amp;" ",ROW(INDIRECT("1:"&amp;LEN(C58)+1)),1)&lt;&gt;"-")),1)-1),C58)</f>
        <v>2.5</v>
      </c>
      <c r="H58" t="str" cm="1">
        <f t="array" ref="H58">_xlfn.XLOOKUP(TRUE,ISNUMBER(SEARCH({"easy";"medium";"moderate";"hard"},C58)),{"easy";"medium";"moderate";"hard"},"")</f>
        <v/>
      </c>
      <c r="I58" t="s">
        <v>115</v>
      </c>
      <c r="J58" s="1" t="str">
        <f t="shared" ca="1" si="0"/>
        <v/>
      </c>
      <c r="K58" s="4">
        <f t="shared" si="1"/>
        <v>106</v>
      </c>
    </row>
    <row r="59" spans="1:11" x14ac:dyDescent="0.3">
      <c r="A59">
        <f t="shared" si="3"/>
        <v>57</v>
      </c>
      <c r="C59">
        <v>7.35</v>
      </c>
      <c r="D59" t="s">
        <v>68</v>
      </c>
      <c r="E59">
        <v>57</v>
      </c>
      <c r="F59" s="2">
        <v>7.35</v>
      </c>
      <c r="G59" t="str" cm="1">
        <f t="array" aca="1" ref="G59" ca="1">IFERROR(LEFT(C59,_xlfn.AGGREGATE(15,6,ROW(INDIRECT("1:"&amp;LEN(C59)+1))/(ISERROR(MID(C59&amp;" ",ROW(INDIRECT("1:"&amp;LEN(C59)+1)),1)*1)*(MID(C59&amp;" ",ROW(INDIRECT("1:"&amp;LEN(C59)+1)),1)&lt;&gt;".")*(MID(C59&amp;" ",ROW(INDIRECT("1:"&amp;LEN(C59)+1)),1)&lt;&gt;"-")),1)-1),C59)</f>
        <v>7.35</v>
      </c>
      <c r="H59" t="str" cm="1">
        <f t="array" ref="H59">_xlfn.XLOOKUP(TRUE,ISNUMBER(SEARCH({"easy";"medium";"moderate";"hard"},C59)),{"easy";"medium";"moderate";"hard"},"")</f>
        <v/>
      </c>
      <c r="I59" t="s">
        <v>115</v>
      </c>
      <c r="J59" s="1" t="str">
        <f t="shared" ca="1" si="0"/>
        <v/>
      </c>
      <c r="K59" s="4">
        <f t="shared" si="1"/>
        <v>107</v>
      </c>
    </row>
    <row r="60" spans="1:11" x14ac:dyDescent="0.3">
      <c r="A60">
        <f t="shared" si="3"/>
        <v>58</v>
      </c>
      <c r="C60">
        <v>30.5</v>
      </c>
      <c r="D60" t="s">
        <v>69</v>
      </c>
      <c r="E60">
        <v>58</v>
      </c>
      <c r="F60" s="2">
        <v>30.5</v>
      </c>
      <c r="G60" t="str" cm="1">
        <f t="array" aca="1" ref="G60" ca="1">IFERROR(LEFT(C60,_xlfn.AGGREGATE(15,6,ROW(INDIRECT("1:"&amp;LEN(C60)+1))/(ISERROR(MID(C60&amp;" ",ROW(INDIRECT("1:"&amp;LEN(C60)+1)),1)*1)*(MID(C60&amp;" ",ROW(INDIRECT("1:"&amp;LEN(C60)+1)),1)&lt;&gt;".")*(MID(C60&amp;" ",ROW(INDIRECT("1:"&amp;LEN(C60)+1)),1)&lt;&gt;"-")),1)-1),C60)</f>
        <v>30.5</v>
      </c>
      <c r="H60" t="str" cm="1">
        <f t="array" ref="H60">_xlfn.XLOOKUP(TRUE,ISNUMBER(SEARCH({"easy";"medium";"moderate";"hard"},C60)),{"easy";"medium";"moderate";"hard"},"")</f>
        <v/>
      </c>
      <c r="I60" t="s">
        <v>115</v>
      </c>
      <c r="J60" s="1" t="str">
        <f t="shared" ca="1" si="0"/>
        <v/>
      </c>
      <c r="K60" s="4">
        <f t="shared" si="1"/>
        <v>108</v>
      </c>
    </row>
    <row r="61" spans="1:11" x14ac:dyDescent="0.3">
      <c r="A61">
        <f t="shared" si="3"/>
        <v>59</v>
      </c>
      <c r="C61">
        <v>3.08</v>
      </c>
      <c r="D61" t="s">
        <v>70</v>
      </c>
      <c r="E61">
        <v>59</v>
      </c>
      <c r="F61" s="2">
        <v>3.08</v>
      </c>
      <c r="G61" t="str" cm="1">
        <f t="array" aca="1" ref="G61" ca="1">IFERROR(LEFT(C61,_xlfn.AGGREGATE(15,6,ROW(INDIRECT("1:"&amp;LEN(C61)+1))/(ISERROR(MID(C61&amp;" ",ROW(INDIRECT("1:"&amp;LEN(C61)+1)),1)*1)*(MID(C61&amp;" ",ROW(INDIRECT("1:"&amp;LEN(C61)+1)),1)&lt;&gt;".")*(MID(C61&amp;" ",ROW(INDIRECT("1:"&amp;LEN(C61)+1)),1)&lt;&gt;"-")),1)-1),C61)</f>
        <v>3.08</v>
      </c>
      <c r="H61" t="str" cm="1">
        <f t="array" ref="H61">_xlfn.XLOOKUP(TRUE,ISNUMBER(SEARCH({"easy";"medium";"moderate";"hard"},C61)),{"easy";"medium";"moderate";"hard"},"")</f>
        <v/>
      </c>
      <c r="I61" t="s">
        <v>115</v>
      </c>
      <c r="J61" s="1" t="str">
        <f t="shared" ca="1" si="0"/>
        <v/>
      </c>
      <c r="K61" s="4">
        <f t="shared" si="1"/>
        <v>109</v>
      </c>
    </row>
    <row r="62" spans="1:11" x14ac:dyDescent="0.3">
      <c r="A62">
        <f t="shared" si="3"/>
        <v>60</v>
      </c>
      <c r="C62">
        <v>-45</v>
      </c>
      <c r="D62" t="s">
        <v>71</v>
      </c>
      <c r="E62">
        <v>60</v>
      </c>
      <c r="F62" s="2">
        <v>-45</v>
      </c>
      <c r="G62" t="str" cm="1">
        <f t="array" aca="1" ref="G62" ca="1">IFERROR(LEFT(C62,_xlfn.AGGREGATE(15,6,ROW(INDIRECT("1:"&amp;LEN(C62)+1))/(ISERROR(MID(C62&amp;" ",ROW(INDIRECT("1:"&amp;LEN(C62)+1)),1)*1)*(MID(C62&amp;" ",ROW(INDIRECT("1:"&amp;LEN(C62)+1)),1)&lt;&gt;".")*(MID(C62&amp;" ",ROW(INDIRECT("1:"&amp;LEN(C62)+1)),1)&lt;&gt;"-")),1)-1),C62)</f>
        <v>-45</v>
      </c>
      <c r="H62" t="str" cm="1">
        <f t="array" ref="H62">_xlfn.XLOOKUP(TRUE,ISNUMBER(SEARCH({"easy";"medium";"moderate";"hard"},C62)),{"easy";"medium";"moderate";"hard"},"")</f>
        <v/>
      </c>
      <c r="I62" t="s">
        <v>115</v>
      </c>
      <c r="J62" s="1" t="str">
        <f t="shared" ca="1" si="0"/>
        <v/>
      </c>
      <c r="K62" s="4">
        <f t="shared" si="1"/>
        <v>100</v>
      </c>
    </row>
    <row r="63" spans="1:11" x14ac:dyDescent="0.3">
      <c r="A63">
        <f t="shared" si="3"/>
        <v>61</v>
      </c>
      <c r="C63">
        <v>4.29</v>
      </c>
      <c r="D63" t="s">
        <v>72</v>
      </c>
      <c r="E63">
        <v>61</v>
      </c>
      <c r="F63" s="2">
        <v>4.29</v>
      </c>
      <c r="G63" t="str" cm="1">
        <f t="array" aca="1" ref="G63" ca="1">IFERROR(LEFT(C63,_xlfn.AGGREGATE(15,6,ROW(INDIRECT("1:"&amp;LEN(C63)+1))/(ISERROR(MID(C63&amp;" ",ROW(INDIRECT("1:"&amp;LEN(C63)+1)),1)*1)*(MID(C63&amp;" ",ROW(INDIRECT("1:"&amp;LEN(C63)+1)),1)&lt;&gt;".")*(MID(C63&amp;" ",ROW(INDIRECT("1:"&amp;LEN(C63)+1)),1)&lt;&gt;"-")),1)-1),C63)</f>
        <v>4.29</v>
      </c>
      <c r="H63" t="str" cm="1">
        <f t="array" ref="H63">_xlfn.XLOOKUP(TRUE,ISNUMBER(SEARCH({"easy";"medium";"moderate";"hard"},C63)),{"easy";"medium";"moderate";"hard"},"")</f>
        <v/>
      </c>
      <c r="I63" t="s">
        <v>115</v>
      </c>
      <c r="J63" s="1" t="str">
        <f t="shared" ca="1" si="0"/>
        <v/>
      </c>
      <c r="K63" s="4">
        <f t="shared" si="1"/>
        <v>101</v>
      </c>
    </row>
    <row r="64" spans="1:11" x14ac:dyDescent="0.3">
      <c r="A64">
        <f t="shared" si="3"/>
        <v>62</v>
      </c>
      <c r="C64">
        <v>21</v>
      </c>
      <c r="D64" t="s">
        <v>73</v>
      </c>
      <c r="E64">
        <v>62</v>
      </c>
      <c r="F64" s="2">
        <v>21</v>
      </c>
      <c r="G64" t="str" cm="1">
        <f t="array" aca="1" ref="G64" ca="1">IFERROR(LEFT(C64,_xlfn.AGGREGATE(15,6,ROW(INDIRECT("1:"&amp;LEN(C64)+1))/(ISERROR(MID(C64&amp;" ",ROW(INDIRECT("1:"&amp;LEN(C64)+1)),1)*1)*(MID(C64&amp;" ",ROW(INDIRECT("1:"&amp;LEN(C64)+1)),1)&lt;&gt;".")*(MID(C64&amp;" ",ROW(INDIRECT("1:"&amp;LEN(C64)+1)),1)&lt;&gt;"-")),1)-1),C64)</f>
        <v>21</v>
      </c>
      <c r="H64" t="str" cm="1">
        <f t="array" ref="H64">_xlfn.XLOOKUP(TRUE,ISNUMBER(SEARCH({"easy";"medium";"moderate";"hard"},C64)),{"easy";"medium";"moderate";"hard"},"")</f>
        <v/>
      </c>
      <c r="I64" t="s">
        <v>115</v>
      </c>
      <c r="J64" s="1" t="str">
        <f t="shared" ca="1" si="0"/>
        <v/>
      </c>
      <c r="K64" s="4">
        <f t="shared" si="1"/>
        <v>102</v>
      </c>
    </row>
    <row r="65" spans="1:11" x14ac:dyDescent="0.3">
      <c r="A65">
        <f t="shared" si="3"/>
        <v>63</v>
      </c>
      <c r="C65">
        <v>18</v>
      </c>
      <c r="D65" t="s">
        <v>74</v>
      </c>
      <c r="E65">
        <v>63</v>
      </c>
      <c r="F65" s="2">
        <v>18</v>
      </c>
      <c r="G65" t="str" cm="1">
        <f t="array" aca="1" ref="G65" ca="1">IFERROR(LEFT(C65,_xlfn.AGGREGATE(15,6,ROW(INDIRECT("1:"&amp;LEN(C65)+1))/(ISERROR(MID(C65&amp;" ",ROW(INDIRECT("1:"&amp;LEN(C65)+1)),1)*1)*(MID(C65&amp;" ",ROW(INDIRECT("1:"&amp;LEN(C65)+1)),1)&lt;&gt;".")*(MID(C65&amp;" ",ROW(INDIRECT("1:"&amp;LEN(C65)+1)),1)&lt;&gt;"-")),1)-1),C65)</f>
        <v>18</v>
      </c>
      <c r="H65" t="str" cm="1">
        <f t="array" ref="H65">_xlfn.XLOOKUP(TRUE,ISNUMBER(SEARCH({"easy";"medium";"moderate";"hard"},C65)),{"easy";"medium";"moderate";"hard"},"")</f>
        <v/>
      </c>
      <c r="I65" t="s">
        <v>115</v>
      </c>
      <c r="J65" s="1" t="str">
        <f t="shared" ca="1" si="0"/>
        <v/>
      </c>
      <c r="K65" s="4">
        <f t="shared" si="1"/>
        <v>103</v>
      </c>
    </row>
    <row r="66" spans="1:11" x14ac:dyDescent="0.3">
      <c r="A66">
        <f t="shared" si="3"/>
        <v>64</v>
      </c>
      <c r="C66">
        <v>4</v>
      </c>
      <c r="D66" t="s">
        <v>75</v>
      </c>
      <c r="E66">
        <v>64</v>
      </c>
      <c r="F66" s="2">
        <v>4</v>
      </c>
      <c r="G66" t="str" cm="1">
        <f t="array" aca="1" ref="G66" ca="1">IFERROR(LEFT(C66,_xlfn.AGGREGATE(15,6,ROW(INDIRECT("1:"&amp;LEN(C66)+1))/(ISERROR(MID(C66&amp;" ",ROW(INDIRECT("1:"&amp;LEN(C66)+1)),1)*1)*(MID(C66&amp;" ",ROW(INDIRECT("1:"&amp;LEN(C66)+1)),1)&lt;&gt;".")*(MID(C66&amp;" ",ROW(INDIRECT("1:"&amp;LEN(C66)+1)),1)&lt;&gt;"-")),1)-1),C66)</f>
        <v>4</v>
      </c>
      <c r="H66" t="str" cm="1">
        <f t="array" ref="H66">_xlfn.XLOOKUP(TRUE,ISNUMBER(SEARCH({"easy";"medium";"moderate";"hard"},C66)),{"easy";"medium";"moderate";"hard"},"")</f>
        <v/>
      </c>
      <c r="I66" t="s">
        <v>115</v>
      </c>
      <c r="J66" s="1" t="str">
        <f t="shared" ca="1" si="0"/>
        <v/>
      </c>
      <c r="K66" s="4">
        <f t="shared" si="1"/>
        <v>104</v>
      </c>
    </row>
    <row r="67" spans="1:11" x14ac:dyDescent="0.3">
      <c r="A67">
        <f t="shared" si="3"/>
        <v>65</v>
      </c>
      <c r="C67">
        <v>234</v>
      </c>
      <c r="D67" t="s">
        <v>76</v>
      </c>
      <c r="E67">
        <v>65</v>
      </c>
      <c r="F67" s="2">
        <v>234</v>
      </c>
      <c r="G67" t="str" cm="1">
        <f t="array" aca="1" ref="G67" ca="1">IFERROR(LEFT(C67,_xlfn.AGGREGATE(15,6,ROW(INDIRECT("1:"&amp;LEN(C67)+1))/(ISERROR(MID(C67&amp;" ",ROW(INDIRECT("1:"&amp;LEN(C67)+1)),1)*1)*(MID(C67&amp;" ",ROW(INDIRECT("1:"&amp;LEN(C67)+1)),1)&lt;&gt;".")*(MID(C67&amp;" ",ROW(INDIRECT("1:"&amp;LEN(C67)+1)),1)&lt;&gt;"-")),1)-1),C67)</f>
        <v>234</v>
      </c>
      <c r="H67" t="str" cm="1">
        <f t="array" ref="H67">_xlfn.XLOOKUP(TRUE,ISNUMBER(SEARCH({"easy";"medium";"moderate";"hard"},C67)),{"easy";"medium";"moderate";"hard"},"")</f>
        <v/>
      </c>
      <c r="I67" t="s">
        <v>115</v>
      </c>
      <c r="J67" s="1" t="str">
        <f t="shared" ref="J67:J130" ca="1" si="4">IF(IFERROR(VALUE(G67),G67)&lt;&gt;IFERROR(VALUE(F67),F67),"ERROR","")</f>
        <v/>
      </c>
      <c r="K67" s="4">
        <f t="shared" ref="K67:K101" si="5">100+MOD(A67,10)</f>
        <v>105</v>
      </c>
    </row>
    <row r="68" spans="1:11" x14ac:dyDescent="0.3">
      <c r="A68">
        <f t="shared" si="3"/>
        <v>66</v>
      </c>
      <c r="C68">
        <v>2.4300000000000002</v>
      </c>
      <c r="D68" t="s">
        <v>77</v>
      </c>
      <c r="E68">
        <v>66</v>
      </c>
      <c r="F68" s="2">
        <v>2.4300000000000002</v>
      </c>
      <c r="G68" t="str" cm="1">
        <f t="array" aca="1" ref="G68" ca="1">IFERROR(LEFT(C68,_xlfn.AGGREGATE(15,6,ROW(INDIRECT("1:"&amp;LEN(C68)+1))/(ISERROR(MID(C68&amp;" ",ROW(INDIRECT("1:"&amp;LEN(C68)+1)),1)*1)*(MID(C68&amp;" ",ROW(INDIRECT("1:"&amp;LEN(C68)+1)),1)&lt;&gt;".")*(MID(C68&amp;" ",ROW(INDIRECT("1:"&amp;LEN(C68)+1)),1)&lt;&gt;"-")),1)-1),C68)</f>
        <v>2.43</v>
      </c>
      <c r="H68" t="str" cm="1">
        <f t="array" ref="H68">_xlfn.XLOOKUP(TRUE,ISNUMBER(SEARCH({"easy";"medium";"moderate";"hard"},C68)),{"easy";"medium";"moderate";"hard"},"")</f>
        <v/>
      </c>
      <c r="I68" t="s">
        <v>115</v>
      </c>
      <c r="J68" s="1" t="str">
        <f t="shared" ca="1" si="4"/>
        <v/>
      </c>
      <c r="K68" s="4">
        <f t="shared" si="5"/>
        <v>106</v>
      </c>
    </row>
    <row r="69" spans="1:11" x14ac:dyDescent="0.3">
      <c r="A69">
        <f t="shared" si="3"/>
        <v>67</v>
      </c>
      <c r="C69">
        <v>465</v>
      </c>
      <c r="D69" t="s">
        <v>78</v>
      </c>
      <c r="E69">
        <v>67</v>
      </c>
      <c r="F69" s="2">
        <v>465</v>
      </c>
      <c r="G69" t="str" cm="1">
        <f t="array" aca="1" ref="G69" ca="1">IFERROR(LEFT(C69,_xlfn.AGGREGATE(15,6,ROW(INDIRECT("1:"&amp;LEN(C69)+1))/(ISERROR(MID(C69&amp;" ",ROW(INDIRECT("1:"&amp;LEN(C69)+1)),1)*1)*(MID(C69&amp;" ",ROW(INDIRECT("1:"&amp;LEN(C69)+1)),1)&lt;&gt;".")*(MID(C69&amp;" ",ROW(INDIRECT("1:"&amp;LEN(C69)+1)),1)&lt;&gt;"-")),1)-1),C69)</f>
        <v>465</v>
      </c>
      <c r="H69" t="str" cm="1">
        <f t="array" ref="H69">_xlfn.XLOOKUP(TRUE,ISNUMBER(SEARCH({"easy";"medium";"moderate";"hard"},C69)),{"easy";"medium";"moderate";"hard"},"")</f>
        <v/>
      </c>
      <c r="I69" t="s">
        <v>115</v>
      </c>
      <c r="J69" s="1" t="str">
        <f t="shared" ca="1" si="4"/>
        <v/>
      </c>
      <c r="K69" s="4">
        <f t="shared" si="5"/>
        <v>107</v>
      </c>
    </row>
    <row r="70" spans="1:11" x14ac:dyDescent="0.3">
      <c r="A70">
        <f t="shared" si="3"/>
        <v>68</v>
      </c>
      <c r="C70">
        <v>1</v>
      </c>
      <c r="D70" t="s">
        <v>79</v>
      </c>
      <c r="E70">
        <v>68</v>
      </c>
      <c r="F70" s="2">
        <v>1</v>
      </c>
      <c r="G70" t="str" cm="1">
        <f t="array" aca="1" ref="G70" ca="1">IFERROR(LEFT(C70,_xlfn.AGGREGATE(15,6,ROW(INDIRECT("1:"&amp;LEN(C70)+1))/(ISERROR(MID(C70&amp;" ",ROW(INDIRECT("1:"&amp;LEN(C70)+1)),1)*1)*(MID(C70&amp;" ",ROW(INDIRECT("1:"&amp;LEN(C70)+1)),1)&lt;&gt;".")*(MID(C70&amp;" ",ROW(INDIRECT("1:"&amp;LEN(C70)+1)),1)&lt;&gt;"-")),1)-1),C70)</f>
        <v>1</v>
      </c>
      <c r="H70" t="str" cm="1">
        <f t="array" ref="H70">_xlfn.XLOOKUP(TRUE,ISNUMBER(SEARCH({"easy";"medium";"moderate";"hard"},C70)),{"easy";"medium";"moderate";"hard"},"")</f>
        <v/>
      </c>
      <c r="I70" t="s">
        <v>115</v>
      </c>
      <c r="J70" s="1" t="str">
        <f t="shared" ca="1" si="4"/>
        <v/>
      </c>
      <c r="K70" s="4">
        <f t="shared" si="5"/>
        <v>108</v>
      </c>
    </row>
    <row r="71" spans="1:11" x14ac:dyDescent="0.3">
      <c r="A71">
        <f t="shared" si="3"/>
        <v>69</v>
      </c>
      <c r="C71">
        <v>11</v>
      </c>
      <c r="D71" t="s">
        <v>80</v>
      </c>
      <c r="E71">
        <v>69</v>
      </c>
      <c r="F71" s="2">
        <v>11</v>
      </c>
      <c r="G71" t="str" cm="1">
        <f t="array" aca="1" ref="G71" ca="1">IFERROR(LEFT(C71,_xlfn.AGGREGATE(15,6,ROW(INDIRECT("1:"&amp;LEN(C71)+1))/(ISERROR(MID(C71&amp;" ",ROW(INDIRECT("1:"&amp;LEN(C71)+1)),1)*1)*(MID(C71&amp;" ",ROW(INDIRECT("1:"&amp;LEN(C71)+1)),1)&lt;&gt;".")*(MID(C71&amp;" ",ROW(INDIRECT("1:"&amp;LEN(C71)+1)),1)&lt;&gt;"-")),1)-1),C71)</f>
        <v>11</v>
      </c>
      <c r="H71" t="str" cm="1">
        <f t="array" ref="H71">_xlfn.XLOOKUP(TRUE,ISNUMBER(SEARCH({"easy";"medium";"moderate";"hard"},C71)),{"easy";"medium";"moderate";"hard"},"")</f>
        <v/>
      </c>
      <c r="I71" t="s">
        <v>115</v>
      </c>
      <c r="J71" s="1" t="str">
        <f t="shared" ca="1" si="4"/>
        <v/>
      </c>
      <c r="K71" s="4">
        <f t="shared" si="5"/>
        <v>109</v>
      </c>
    </row>
    <row r="72" spans="1:11" x14ac:dyDescent="0.3">
      <c r="A72">
        <f t="shared" si="3"/>
        <v>70</v>
      </c>
      <c r="C72">
        <v>70</v>
      </c>
      <c r="D72" t="s">
        <v>81</v>
      </c>
      <c r="E72">
        <v>70</v>
      </c>
      <c r="F72" s="2">
        <v>70</v>
      </c>
      <c r="G72" t="str" cm="1">
        <f t="array" aca="1" ref="G72" ca="1">IFERROR(LEFT(C72,_xlfn.AGGREGATE(15,6,ROW(INDIRECT("1:"&amp;LEN(C72)+1))/(ISERROR(MID(C72&amp;" ",ROW(INDIRECT("1:"&amp;LEN(C72)+1)),1)*1)*(MID(C72&amp;" ",ROW(INDIRECT("1:"&amp;LEN(C72)+1)),1)&lt;&gt;".")*(MID(C72&amp;" ",ROW(INDIRECT("1:"&amp;LEN(C72)+1)),1)&lt;&gt;"-")),1)-1),C72)</f>
        <v>70</v>
      </c>
      <c r="H72" t="str" cm="1">
        <f t="array" ref="H72">_xlfn.XLOOKUP(TRUE,ISNUMBER(SEARCH({"easy";"medium";"moderate";"hard"},C72)),{"easy";"medium";"moderate";"hard"},"")</f>
        <v/>
      </c>
      <c r="I72" t="s">
        <v>115</v>
      </c>
      <c r="J72" s="1" t="str">
        <f t="shared" ca="1" si="4"/>
        <v/>
      </c>
      <c r="K72" s="4">
        <f t="shared" si="5"/>
        <v>100</v>
      </c>
    </row>
    <row r="73" spans="1:11" x14ac:dyDescent="0.3">
      <c r="A73">
        <f t="shared" si="3"/>
        <v>71</v>
      </c>
      <c r="C73">
        <v>78.125</v>
      </c>
      <c r="D73" t="s">
        <v>82</v>
      </c>
      <c r="E73">
        <v>71</v>
      </c>
      <c r="F73" s="2">
        <v>78.125</v>
      </c>
      <c r="G73" t="str" cm="1">
        <f t="array" aca="1" ref="G73" ca="1">IFERROR(LEFT(C73,_xlfn.AGGREGATE(15,6,ROW(INDIRECT("1:"&amp;LEN(C73)+1))/(ISERROR(MID(C73&amp;" ",ROW(INDIRECT("1:"&amp;LEN(C73)+1)),1)*1)*(MID(C73&amp;" ",ROW(INDIRECT("1:"&amp;LEN(C73)+1)),1)&lt;&gt;".")*(MID(C73&amp;" ",ROW(INDIRECT("1:"&amp;LEN(C73)+1)),1)&lt;&gt;"-")),1)-1),C73)</f>
        <v>78.125</v>
      </c>
      <c r="H73" t="str" cm="1">
        <f t="array" ref="H73">_xlfn.XLOOKUP(TRUE,ISNUMBER(SEARCH({"easy";"medium";"moderate";"hard"},C73)),{"easy";"medium";"moderate";"hard"},"")</f>
        <v/>
      </c>
      <c r="I73" t="s">
        <v>115</v>
      </c>
      <c r="J73" s="1" t="str">
        <f t="shared" ca="1" si="4"/>
        <v/>
      </c>
      <c r="K73" s="4">
        <f t="shared" si="5"/>
        <v>101</v>
      </c>
    </row>
    <row r="74" spans="1:11" x14ac:dyDescent="0.3">
      <c r="A74">
        <f t="shared" si="3"/>
        <v>72</v>
      </c>
      <c r="C74">
        <v>2.09</v>
      </c>
      <c r="D74" t="s">
        <v>83</v>
      </c>
      <c r="E74">
        <v>72</v>
      </c>
      <c r="F74" s="2">
        <v>2.09</v>
      </c>
      <c r="G74" t="str" cm="1">
        <f t="array" aca="1" ref="G74" ca="1">IFERROR(LEFT(C74,_xlfn.AGGREGATE(15,6,ROW(INDIRECT("1:"&amp;LEN(C74)+1))/(ISERROR(MID(C74&amp;" ",ROW(INDIRECT("1:"&amp;LEN(C74)+1)),1)*1)*(MID(C74&amp;" ",ROW(INDIRECT("1:"&amp;LEN(C74)+1)),1)&lt;&gt;".")*(MID(C74&amp;" ",ROW(INDIRECT("1:"&amp;LEN(C74)+1)),1)&lt;&gt;"-")),1)-1),C74)</f>
        <v>2.09</v>
      </c>
      <c r="H74" t="str" cm="1">
        <f t="array" ref="H74">_xlfn.XLOOKUP(TRUE,ISNUMBER(SEARCH({"easy";"medium";"moderate";"hard"},C74)),{"easy";"medium";"moderate";"hard"},"")</f>
        <v/>
      </c>
      <c r="I74" t="s">
        <v>115</v>
      </c>
      <c r="J74" s="1" t="str">
        <f t="shared" ca="1" si="4"/>
        <v/>
      </c>
      <c r="K74" s="4">
        <f t="shared" si="5"/>
        <v>102</v>
      </c>
    </row>
    <row r="75" spans="1:11" x14ac:dyDescent="0.3">
      <c r="A75">
        <f t="shared" si="3"/>
        <v>73</v>
      </c>
      <c r="C75">
        <v>35</v>
      </c>
      <c r="D75" t="s">
        <v>84</v>
      </c>
      <c r="E75">
        <v>73</v>
      </c>
      <c r="F75" s="2">
        <v>35</v>
      </c>
      <c r="G75" t="str" cm="1">
        <f t="array" aca="1" ref="G75" ca="1">IFERROR(LEFT(C75,_xlfn.AGGREGATE(15,6,ROW(INDIRECT("1:"&amp;LEN(C75)+1))/(ISERROR(MID(C75&amp;" ",ROW(INDIRECT("1:"&amp;LEN(C75)+1)),1)*1)*(MID(C75&amp;" ",ROW(INDIRECT("1:"&amp;LEN(C75)+1)),1)&lt;&gt;".")*(MID(C75&amp;" ",ROW(INDIRECT("1:"&amp;LEN(C75)+1)),1)&lt;&gt;"-")),1)-1),C75)</f>
        <v>35</v>
      </c>
      <c r="H75" t="str" cm="1">
        <f t="array" ref="H75">_xlfn.XLOOKUP(TRUE,ISNUMBER(SEARCH({"easy";"medium";"moderate";"hard"},C75)),{"easy";"medium";"moderate";"hard"},"")</f>
        <v/>
      </c>
      <c r="I75" t="s">
        <v>115</v>
      </c>
      <c r="J75" s="1" t="str">
        <f t="shared" ca="1" si="4"/>
        <v/>
      </c>
      <c r="K75" s="4">
        <f t="shared" si="5"/>
        <v>103</v>
      </c>
    </row>
    <row r="76" spans="1:11" x14ac:dyDescent="0.3">
      <c r="A76">
        <f t="shared" si="3"/>
        <v>74</v>
      </c>
      <c r="C76">
        <v>107000</v>
      </c>
      <c r="D76" t="s">
        <v>85</v>
      </c>
      <c r="E76">
        <v>74</v>
      </c>
      <c r="F76" s="2">
        <v>107000</v>
      </c>
      <c r="G76" t="str" cm="1">
        <f t="array" aca="1" ref="G76" ca="1">IFERROR(LEFT(C76,_xlfn.AGGREGATE(15,6,ROW(INDIRECT("1:"&amp;LEN(C76)+1))/(ISERROR(MID(C76&amp;" ",ROW(INDIRECT("1:"&amp;LEN(C76)+1)),1)*1)*(MID(C76&amp;" ",ROW(INDIRECT("1:"&amp;LEN(C76)+1)),1)&lt;&gt;".")*(MID(C76&amp;" ",ROW(INDIRECT("1:"&amp;LEN(C76)+1)),1)&lt;&gt;"-")),1)-1),C76)</f>
        <v>107000</v>
      </c>
      <c r="H76" t="str" cm="1">
        <f t="array" ref="H76">_xlfn.XLOOKUP(TRUE,ISNUMBER(SEARCH({"easy";"medium";"moderate";"hard"},C76)),{"easy";"medium";"moderate";"hard"},"")</f>
        <v/>
      </c>
      <c r="I76" t="s">
        <v>115</v>
      </c>
      <c r="J76" s="1" t="str">
        <f t="shared" ca="1" si="4"/>
        <v/>
      </c>
      <c r="K76" s="4">
        <f t="shared" si="5"/>
        <v>104</v>
      </c>
    </row>
    <row r="77" spans="1:11" x14ac:dyDescent="0.3">
      <c r="A77">
        <f t="shared" si="3"/>
        <v>75</v>
      </c>
      <c r="C77">
        <v>7</v>
      </c>
      <c r="D77" t="s">
        <v>86</v>
      </c>
      <c r="E77">
        <v>75</v>
      </c>
      <c r="F77" s="2">
        <v>7</v>
      </c>
      <c r="G77" t="str" cm="1">
        <f t="array" aca="1" ref="G77" ca="1">IFERROR(LEFT(C77,_xlfn.AGGREGATE(15,6,ROW(INDIRECT("1:"&amp;LEN(C77)+1))/(ISERROR(MID(C77&amp;" ",ROW(INDIRECT("1:"&amp;LEN(C77)+1)),1)*1)*(MID(C77&amp;" ",ROW(INDIRECT("1:"&amp;LEN(C77)+1)),1)&lt;&gt;".")*(MID(C77&amp;" ",ROW(INDIRECT("1:"&amp;LEN(C77)+1)),1)&lt;&gt;"-")),1)-1),C77)</f>
        <v>7</v>
      </c>
      <c r="H77" t="str" cm="1">
        <f t="array" ref="H77">_xlfn.XLOOKUP(TRUE,ISNUMBER(SEARCH({"easy";"medium";"moderate";"hard"},C77)),{"easy";"medium";"moderate";"hard"},"")</f>
        <v/>
      </c>
      <c r="I77" t="s">
        <v>115</v>
      </c>
      <c r="J77" s="1" t="str">
        <f t="shared" ca="1" si="4"/>
        <v/>
      </c>
      <c r="K77" s="4">
        <f t="shared" si="5"/>
        <v>105</v>
      </c>
    </row>
    <row r="78" spans="1:11" x14ac:dyDescent="0.3">
      <c r="A78">
        <f t="shared" si="3"/>
        <v>76</v>
      </c>
      <c r="C78">
        <v>17</v>
      </c>
      <c r="D78" t="s">
        <v>87</v>
      </c>
      <c r="E78">
        <v>76</v>
      </c>
      <c r="F78" s="2">
        <v>17</v>
      </c>
      <c r="G78" t="str" cm="1">
        <f t="array" aca="1" ref="G78" ca="1">IFERROR(LEFT(C78,_xlfn.AGGREGATE(15,6,ROW(INDIRECT("1:"&amp;LEN(C78)+1))/(ISERROR(MID(C78&amp;" ",ROW(INDIRECT("1:"&amp;LEN(C78)+1)),1)*1)*(MID(C78&amp;" ",ROW(INDIRECT("1:"&amp;LEN(C78)+1)),1)&lt;&gt;".")*(MID(C78&amp;" ",ROW(INDIRECT("1:"&amp;LEN(C78)+1)),1)&lt;&gt;"-")),1)-1),C78)</f>
        <v>17</v>
      </c>
      <c r="H78" t="str" cm="1">
        <f t="array" ref="H78">_xlfn.XLOOKUP(TRUE,ISNUMBER(SEARCH({"easy";"medium";"moderate";"hard"},C78)),{"easy";"medium";"moderate";"hard"},"")</f>
        <v/>
      </c>
      <c r="I78" t="s">
        <v>115</v>
      </c>
      <c r="J78" s="1" t="str">
        <f t="shared" ca="1" si="4"/>
        <v/>
      </c>
      <c r="K78" s="4">
        <f t="shared" si="5"/>
        <v>106</v>
      </c>
    </row>
    <row r="79" spans="1:11" x14ac:dyDescent="0.3">
      <c r="A79">
        <f t="shared" si="3"/>
        <v>77</v>
      </c>
      <c r="C79">
        <v>-54.5</v>
      </c>
      <c r="D79" t="s">
        <v>88</v>
      </c>
      <c r="E79">
        <v>77</v>
      </c>
      <c r="F79" s="2">
        <v>-54.5</v>
      </c>
      <c r="G79" t="str" cm="1">
        <f t="array" aca="1" ref="G79" ca="1">IFERROR(LEFT(C79,_xlfn.AGGREGATE(15,6,ROW(INDIRECT("1:"&amp;LEN(C79)+1))/(ISERROR(MID(C79&amp;" ",ROW(INDIRECT("1:"&amp;LEN(C79)+1)),1)*1)*(MID(C79&amp;" ",ROW(INDIRECT("1:"&amp;LEN(C79)+1)),1)&lt;&gt;".")*(MID(C79&amp;" ",ROW(INDIRECT("1:"&amp;LEN(C79)+1)),1)&lt;&gt;"-")),1)-1),C79)</f>
        <v>-54.5</v>
      </c>
      <c r="H79" t="str" cm="1">
        <f t="array" ref="H79">_xlfn.XLOOKUP(TRUE,ISNUMBER(SEARCH({"easy";"medium";"moderate";"hard"},C79)),{"easy";"medium";"moderate";"hard"},"")</f>
        <v/>
      </c>
      <c r="I79" t="s">
        <v>115</v>
      </c>
      <c r="J79" s="1" t="str">
        <f t="shared" ca="1" si="4"/>
        <v/>
      </c>
      <c r="K79" s="4">
        <f t="shared" si="5"/>
        <v>107</v>
      </c>
    </row>
    <row r="80" spans="1:11" x14ac:dyDescent="0.3">
      <c r="A80">
        <f t="shared" si="3"/>
        <v>78</v>
      </c>
      <c r="C80">
        <v>10.8</v>
      </c>
      <c r="D80" t="s">
        <v>89</v>
      </c>
      <c r="E80">
        <v>78</v>
      </c>
      <c r="F80" s="2">
        <v>10.8</v>
      </c>
      <c r="G80" t="str" cm="1">
        <f t="array" aca="1" ref="G80" ca="1">IFERROR(LEFT(C80,_xlfn.AGGREGATE(15,6,ROW(INDIRECT("1:"&amp;LEN(C80)+1))/(ISERROR(MID(C80&amp;" ",ROW(INDIRECT("1:"&amp;LEN(C80)+1)),1)*1)*(MID(C80&amp;" ",ROW(INDIRECT("1:"&amp;LEN(C80)+1)),1)&lt;&gt;".")*(MID(C80&amp;" ",ROW(INDIRECT("1:"&amp;LEN(C80)+1)),1)&lt;&gt;"-")),1)-1),C80)</f>
        <v>10.8</v>
      </c>
      <c r="H80" t="str" cm="1">
        <f t="array" ref="H80">_xlfn.XLOOKUP(TRUE,ISNUMBER(SEARCH({"easy";"medium";"moderate";"hard"},C80)),{"easy";"medium";"moderate";"hard"},"")</f>
        <v/>
      </c>
      <c r="I80" t="s">
        <v>115</v>
      </c>
      <c r="J80" s="1" t="str">
        <f t="shared" ca="1" si="4"/>
        <v/>
      </c>
      <c r="K80" s="4">
        <f t="shared" si="5"/>
        <v>108</v>
      </c>
    </row>
    <row r="81" spans="1:11" x14ac:dyDescent="0.3">
      <c r="A81">
        <f t="shared" si="3"/>
        <v>79</v>
      </c>
      <c r="C81">
        <v>-20</v>
      </c>
      <c r="D81" t="s">
        <v>90</v>
      </c>
      <c r="E81">
        <v>79</v>
      </c>
      <c r="F81" s="2">
        <v>-20</v>
      </c>
      <c r="G81" t="str" cm="1">
        <f t="array" aca="1" ref="G81" ca="1">IFERROR(LEFT(C81,_xlfn.AGGREGATE(15,6,ROW(INDIRECT("1:"&amp;LEN(C81)+1))/(ISERROR(MID(C81&amp;" ",ROW(INDIRECT("1:"&amp;LEN(C81)+1)),1)*1)*(MID(C81&amp;" ",ROW(INDIRECT("1:"&amp;LEN(C81)+1)),1)&lt;&gt;".")*(MID(C81&amp;" ",ROW(INDIRECT("1:"&amp;LEN(C81)+1)),1)&lt;&gt;"-")),1)-1),C81)</f>
        <v>-20</v>
      </c>
      <c r="H81" t="str" cm="1">
        <f t="array" ref="H81">_xlfn.XLOOKUP(TRUE,ISNUMBER(SEARCH({"easy";"medium";"moderate";"hard"},C81)),{"easy";"medium";"moderate";"hard"},"")</f>
        <v/>
      </c>
      <c r="I81" t="s">
        <v>115</v>
      </c>
      <c r="J81" s="1" t="str">
        <f t="shared" ca="1" si="4"/>
        <v/>
      </c>
      <c r="K81" s="4">
        <f t="shared" si="5"/>
        <v>109</v>
      </c>
    </row>
    <row r="82" spans="1:11" x14ac:dyDescent="0.3">
      <c r="A82">
        <f t="shared" si="3"/>
        <v>80</v>
      </c>
      <c r="C82">
        <v>-3.75</v>
      </c>
      <c r="D82" t="s">
        <v>91</v>
      </c>
      <c r="E82">
        <v>80</v>
      </c>
      <c r="F82" s="2">
        <v>-3.75</v>
      </c>
      <c r="G82" t="str" cm="1">
        <f t="array" aca="1" ref="G82" ca="1">IFERROR(LEFT(C82,_xlfn.AGGREGATE(15,6,ROW(INDIRECT("1:"&amp;LEN(C82)+1))/(ISERROR(MID(C82&amp;" ",ROW(INDIRECT("1:"&amp;LEN(C82)+1)),1)*1)*(MID(C82&amp;" ",ROW(INDIRECT("1:"&amp;LEN(C82)+1)),1)&lt;&gt;".")*(MID(C82&amp;" ",ROW(INDIRECT("1:"&amp;LEN(C82)+1)),1)&lt;&gt;"-")),1)-1),C82)</f>
        <v>-3.75</v>
      </c>
      <c r="H82" t="str" cm="1">
        <f t="array" ref="H82">_xlfn.XLOOKUP(TRUE,ISNUMBER(SEARCH({"easy";"medium";"moderate";"hard"},C82)),{"easy";"medium";"moderate";"hard"},"")</f>
        <v/>
      </c>
      <c r="I82" t="s">
        <v>115</v>
      </c>
      <c r="J82" s="1" t="str">
        <f t="shared" ca="1" si="4"/>
        <v/>
      </c>
      <c r="K82" s="4">
        <f t="shared" si="5"/>
        <v>100</v>
      </c>
    </row>
    <row r="83" spans="1:11" x14ac:dyDescent="0.3">
      <c r="A83">
        <f t="shared" si="3"/>
        <v>81</v>
      </c>
      <c r="C83">
        <v>288</v>
      </c>
      <c r="D83" t="s">
        <v>92</v>
      </c>
      <c r="E83">
        <v>81</v>
      </c>
      <c r="F83" s="2">
        <v>288</v>
      </c>
      <c r="G83" t="str" cm="1">
        <f t="array" aca="1" ref="G83" ca="1">IFERROR(LEFT(C83,_xlfn.AGGREGATE(15,6,ROW(INDIRECT("1:"&amp;LEN(C83)+1))/(ISERROR(MID(C83&amp;" ",ROW(INDIRECT("1:"&amp;LEN(C83)+1)),1)*1)*(MID(C83&amp;" ",ROW(INDIRECT("1:"&amp;LEN(C83)+1)),1)&lt;&gt;".")*(MID(C83&amp;" ",ROW(INDIRECT("1:"&amp;LEN(C83)+1)),1)&lt;&gt;"-")),1)-1),C83)</f>
        <v>288</v>
      </c>
      <c r="H83" t="str" cm="1">
        <f t="array" ref="H83">_xlfn.XLOOKUP(TRUE,ISNUMBER(SEARCH({"easy";"medium";"moderate";"hard"},C83)),{"easy";"medium";"moderate";"hard"},"")</f>
        <v/>
      </c>
      <c r="I83" t="s">
        <v>115</v>
      </c>
      <c r="J83" s="1" t="str">
        <f t="shared" ca="1" si="4"/>
        <v/>
      </c>
      <c r="K83" s="4">
        <f t="shared" si="5"/>
        <v>101</v>
      </c>
    </row>
    <row r="84" spans="1:11" x14ac:dyDescent="0.3">
      <c r="A84">
        <f t="shared" si="3"/>
        <v>82</v>
      </c>
      <c r="C84">
        <v>675</v>
      </c>
      <c r="D84" t="s">
        <v>93</v>
      </c>
      <c r="E84">
        <v>82</v>
      </c>
      <c r="F84" s="2">
        <v>675</v>
      </c>
      <c r="G84" t="str" cm="1">
        <f t="array" aca="1" ref="G84" ca="1">IFERROR(LEFT(C84,_xlfn.AGGREGATE(15,6,ROW(INDIRECT("1:"&amp;LEN(C84)+1))/(ISERROR(MID(C84&amp;" ",ROW(INDIRECT("1:"&amp;LEN(C84)+1)),1)*1)*(MID(C84&amp;" ",ROW(INDIRECT("1:"&amp;LEN(C84)+1)),1)&lt;&gt;".")*(MID(C84&amp;" ",ROW(INDIRECT("1:"&amp;LEN(C84)+1)),1)&lt;&gt;"-")),1)-1),C84)</f>
        <v>675</v>
      </c>
      <c r="H84" t="str" cm="1">
        <f t="array" ref="H84">_xlfn.XLOOKUP(TRUE,ISNUMBER(SEARCH({"easy";"medium";"moderate";"hard"},C84)),{"easy";"medium";"moderate";"hard"},"")</f>
        <v/>
      </c>
      <c r="I84" t="s">
        <v>115</v>
      </c>
      <c r="J84" s="1" t="str">
        <f t="shared" ca="1" si="4"/>
        <v/>
      </c>
      <c r="K84" s="4">
        <f t="shared" si="5"/>
        <v>102</v>
      </c>
    </row>
    <row r="85" spans="1:11" x14ac:dyDescent="0.3">
      <c r="A85">
        <f t="shared" si="3"/>
        <v>83</v>
      </c>
      <c r="C85">
        <v>3</v>
      </c>
      <c r="D85" t="s">
        <v>94</v>
      </c>
      <c r="E85">
        <v>83</v>
      </c>
      <c r="F85" s="2">
        <v>3</v>
      </c>
      <c r="G85" t="str" cm="1">
        <f t="array" aca="1" ref="G85" ca="1">IFERROR(LEFT(C85,_xlfn.AGGREGATE(15,6,ROW(INDIRECT("1:"&amp;LEN(C85)+1))/(ISERROR(MID(C85&amp;" ",ROW(INDIRECT("1:"&amp;LEN(C85)+1)),1)*1)*(MID(C85&amp;" ",ROW(INDIRECT("1:"&amp;LEN(C85)+1)),1)&lt;&gt;".")*(MID(C85&amp;" ",ROW(INDIRECT("1:"&amp;LEN(C85)+1)),1)&lt;&gt;"-")),1)-1),C85)</f>
        <v>3</v>
      </c>
      <c r="H85" t="str" cm="1">
        <f t="array" ref="H85">_xlfn.XLOOKUP(TRUE,ISNUMBER(SEARCH({"easy";"medium";"moderate";"hard"},C85)),{"easy";"medium";"moderate";"hard"},"")</f>
        <v/>
      </c>
      <c r="I85" t="s">
        <v>115</v>
      </c>
      <c r="J85" s="1" t="str">
        <f t="shared" ca="1" si="4"/>
        <v/>
      </c>
      <c r="K85" s="4">
        <f t="shared" si="5"/>
        <v>103</v>
      </c>
    </row>
    <row r="86" spans="1:11" x14ac:dyDescent="0.3">
      <c r="A86">
        <f t="shared" si="3"/>
        <v>84</v>
      </c>
      <c r="C86">
        <v>560</v>
      </c>
      <c r="D86" t="s">
        <v>95</v>
      </c>
      <c r="E86">
        <v>84</v>
      </c>
      <c r="F86" s="2">
        <v>560</v>
      </c>
      <c r="G86" t="str" cm="1">
        <f t="array" aca="1" ref="G86" ca="1">IFERROR(LEFT(C86,_xlfn.AGGREGATE(15,6,ROW(INDIRECT("1:"&amp;LEN(C86)+1))/(ISERROR(MID(C86&amp;" ",ROW(INDIRECT("1:"&amp;LEN(C86)+1)),1)*1)*(MID(C86&amp;" ",ROW(INDIRECT("1:"&amp;LEN(C86)+1)),1)&lt;&gt;".")*(MID(C86&amp;" ",ROW(INDIRECT("1:"&amp;LEN(C86)+1)),1)&lt;&gt;"-")),1)-1),C86)</f>
        <v>560</v>
      </c>
      <c r="H86" t="str" cm="1">
        <f t="array" ref="H86">_xlfn.XLOOKUP(TRUE,ISNUMBER(SEARCH({"easy";"medium";"moderate";"hard"},C86)),{"easy";"medium";"moderate";"hard"},"")</f>
        <v/>
      </c>
      <c r="I86" t="s">
        <v>115</v>
      </c>
      <c r="J86" s="1" t="str">
        <f t="shared" ca="1" si="4"/>
        <v/>
      </c>
      <c r="K86" s="4">
        <f t="shared" si="5"/>
        <v>104</v>
      </c>
    </row>
    <row r="87" spans="1:11" x14ac:dyDescent="0.3">
      <c r="A87">
        <f t="shared" si="3"/>
        <v>85</v>
      </c>
      <c r="C87">
        <v>140</v>
      </c>
      <c r="D87" t="s">
        <v>96</v>
      </c>
      <c r="E87">
        <v>85</v>
      </c>
      <c r="F87" s="2">
        <v>140</v>
      </c>
      <c r="G87" t="str" cm="1">
        <f t="array" aca="1" ref="G87" ca="1">IFERROR(LEFT(C87,_xlfn.AGGREGATE(15,6,ROW(INDIRECT("1:"&amp;LEN(C87)+1))/(ISERROR(MID(C87&amp;" ",ROW(INDIRECT("1:"&amp;LEN(C87)+1)),1)*1)*(MID(C87&amp;" ",ROW(INDIRECT("1:"&amp;LEN(C87)+1)),1)&lt;&gt;".")*(MID(C87&amp;" ",ROW(INDIRECT("1:"&amp;LEN(C87)+1)),1)&lt;&gt;"-")),1)-1),C87)</f>
        <v>140</v>
      </c>
      <c r="H87" t="str" cm="1">
        <f t="array" ref="H87">_xlfn.XLOOKUP(TRUE,ISNUMBER(SEARCH({"easy";"medium";"moderate";"hard"},C87)),{"easy";"medium";"moderate";"hard"},"")</f>
        <v/>
      </c>
      <c r="I87" t="s">
        <v>115</v>
      </c>
      <c r="J87" s="1" t="str">
        <f t="shared" ca="1" si="4"/>
        <v/>
      </c>
      <c r="K87" s="4">
        <f t="shared" si="5"/>
        <v>105</v>
      </c>
    </row>
    <row r="88" spans="1:11" x14ac:dyDescent="0.3">
      <c r="A88">
        <f t="shared" si="3"/>
        <v>86</v>
      </c>
      <c r="C88">
        <v>5.25</v>
      </c>
      <c r="D88" t="s">
        <v>97</v>
      </c>
      <c r="E88">
        <v>86</v>
      </c>
      <c r="F88" s="2">
        <v>5.25</v>
      </c>
      <c r="G88" t="str" cm="1">
        <f t="array" aca="1" ref="G88" ca="1">IFERROR(LEFT(C88,_xlfn.AGGREGATE(15,6,ROW(INDIRECT("1:"&amp;LEN(C88)+1))/(ISERROR(MID(C88&amp;" ",ROW(INDIRECT("1:"&amp;LEN(C88)+1)),1)*1)*(MID(C88&amp;" ",ROW(INDIRECT("1:"&amp;LEN(C88)+1)),1)&lt;&gt;".")*(MID(C88&amp;" ",ROW(INDIRECT("1:"&amp;LEN(C88)+1)),1)&lt;&gt;"-")),1)-1),C88)</f>
        <v>5.25</v>
      </c>
      <c r="H88" t="str" cm="1">
        <f t="array" ref="H88">_xlfn.XLOOKUP(TRUE,ISNUMBER(SEARCH({"easy";"medium";"moderate";"hard"},C88)),{"easy";"medium";"moderate";"hard"},"")</f>
        <v/>
      </c>
      <c r="I88" t="s">
        <v>115</v>
      </c>
      <c r="J88" s="1" t="str">
        <f t="shared" ca="1" si="4"/>
        <v/>
      </c>
      <c r="K88" s="4">
        <f t="shared" si="5"/>
        <v>106</v>
      </c>
    </row>
    <row r="89" spans="1:11" x14ac:dyDescent="0.3">
      <c r="A89">
        <f t="shared" si="3"/>
        <v>87</v>
      </c>
      <c r="C89">
        <v>-1.125</v>
      </c>
      <c r="D89" t="s">
        <v>98</v>
      </c>
      <c r="E89">
        <v>87</v>
      </c>
      <c r="F89" s="2">
        <v>-1.125</v>
      </c>
      <c r="G89" t="str" cm="1">
        <f t="array" aca="1" ref="G89" ca="1">IFERROR(LEFT(C89,_xlfn.AGGREGATE(15,6,ROW(INDIRECT("1:"&amp;LEN(C89)+1))/(ISERROR(MID(C89&amp;" ",ROW(INDIRECT("1:"&amp;LEN(C89)+1)),1)*1)*(MID(C89&amp;" ",ROW(INDIRECT("1:"&amp;LEN(C89)+1)),1)&lt;&gt;".")*(MID(C89&amp;" ",ROW(INDIRECT("1:"&amp;LEN(C89)+1)),1)&lt;&gt;"-")),1)-1),C89)</f>
        <v>-1.125</v>
      </c>
      <c r="H89" t="str" cm="1">
        <f t="array" ref="H89">_xlfn.XLOOKUP(TRUE,ISNUMBER(SEARCH({"easy";"medium";"moderate";"hard"},C89)),{"easy";"medium";"moderate";"hard"},"")</f>
        <v/>
      </c>
      <c r="I89" t="s">
        <v>115</v>
      </c>
      <c r="J89" s="1" t="str">
        <f t="shared" ca="1" si="4"/>
        <v/>
      </c>
      <c r="K89" s="4">
        <f t="shared" si="5"/>
        <v>107</v>
      </c>
    </row>
    <row r="90" spans="1:11" x14ac:dyDescent="0.3">
      <c r="A90">
        <f t="shared" si="3"/>
        <v>88</v>
      </c>
      <c r="C90">
        <v>2</v>
      </c>
      <c r="D90" t="s">
        <v>99</v>
      </c>
      <c r="E90">
        <v>88</v>
      </c>
      <c r="F90" s="2">
        <v>2</v>
      </c>
      <c r="G90" t="str" cm="1">
        <f t="array" aca="1" ref="G90" ca="1">IFERROR(LEFT(C90,_xlfn.AGGREGATE(15,6,ROW(INDIRECT("1:"&amp;LEN(C90)+1))/(ISERROR(MID(C90&amp;" ",ROW(INDIRECT("1:"&amp;LEN(C90)+1)),1)*1)*(MID(C90&amp;" ",ROW(INDIRECT("1:"&amp;LEN(C90)+1)),1)&lt;&gt;".")*(MID(C90&amp;" ",ROW(INDIRECT("1:"&amp;LEN(C90)+1)),1)&lt;&gt;"-")),1)-1),C90)</f>
        <v>2</v>
      </c>
      <c r="H90" t="str" cm="1">
        <f t="array" ref="H90">_xlfn.XLOOKUP(TRUE,ISNUMBER(SEARCH({"easy";"medium";"moderate";"hard"},C90)),{"easy";"medium";"moderate";"hard"},"")</f>
        <v/>
      </c>
      <c r="I90" t="s">
        <v>115</v>
      </c>
      <c r="J90" s="1" t="str">
        <f t="shared" ca="1" si="4"/>
        <v/>
      </c>
      <c r="K90" s="4">
        <f t="shared" si="5"/>
        <v>108</v>
      </c>
    </row>
    <row r="91" spans="1:11" x14ac:dyDescent="0.3">
      <c r="A91">
        <f t="shared" si="3"/>
        <v>89</v>
      </c>
      <c r="C91">
        <v>0.55500000000000005</v>
      </c>
      <c r="D91" t="s">
        <v>100</v>
      </c>
      <c r="E91">
        <v>89</v>
      </c>
      <c r="F91" s="2">
        <v>0.55500000000000005</v>
      </c>
      <c r="G91" t="str" cm="1">
        <f t="array" aca="1" ref="G91" ca="1">IFERROR(LEFT(C91,_xlfn.AGGREGATE(15,6,ROW(INDIRECT("1:"&amp;LEN(C91)+1))/(ISERROR(MID(C91&amp;" ",ROW(INDIRECT("1:"&amp;LEN(C91)+1)),1)*1)*(MID(C91&amp;" ",ROW(INDIRECT("1:"&amp;LEN(C91)+1)),1)&lt;&gt;".")*(MID(C91&amp;" ",ROW(INDIRECT("1:"&amp;LEN(C91)+1)),1)&lt;&gt;"-")),1)-1),C91)</f>
        <v>0.555</v>
      </c>
      <c r="H91" t="str" cm="1">
        <f t="array" ref="H91">_xlfn.XLOOKUP(TRUE,ISNUMBER(SEARCH({"easy";"medium";"moderate";"hard"},C91)),{"easy";"medium";"moderate";"hard"},"")</f>
        <v/>
      </c>
      <c r="I91" t="s">
        <v>115</v>
      </c>
      <c r="J91" s="1" t="str">
        <f t="shared" ca="1" si="4"/>
        <v/>
      </c>
      <c r="K91" s="4">
        <f t="shared" si="5"/>
        <v>109</v>
      </c>
    </row>
    <row r="92" spans="1:11" x14ac:dyDescent="0.3">
      <c r="A92">
        <f t="shared" si="3"/>
        <v>90</v>
      </c>
      <c r="C92">
        <v>756</v>
      </c>
      <c r="D92" t="s">
        <v>101</v>
      </c>
      <c r="E92">
        <v>90</v>
      </c>
      <c r="F92" s="2">
        <v>756</v>
      </c>
      <c r="G92" t="str" cm="1">
        <f t="array" aca="1" ref="G92" ca="1">IFERROR(LEFT(C92,_xlfn.AGGREGATE(15,6,ROW(INDIRECT("1:"&amp;LEN(C92)+1))/(ISERROR(MID(C92&amp;" ",ROW(INDIRECT("1:"&amp;LEN(C92)+1)),1)*1)*(MID(C92&amp;" ",ROW(INDIRECT("1:"&amp;LEN(C92)+1)),1)&lt;&gt;".")*(MID(C92&amp;" ",ROW(INDIRECT("1:"&amp;LEN(C92)+1)),1)&lt;&gt;"-")),1)-1),C92)</f>
        <v>756</v>
      </c>
      <c r="H92" t="str" cm="1">
        <f t="array" ref="H92">_xlfn.XLOOKUP(TRUE,ISNUMBER(SEARCH({"easy";"medium";"moderate";"hard"},C92)),{"easy";"medium";"moderate";"hard"},"")</f>
        <v/>
      </c>
      <c r="I92" t="s">
        <v>115</v>
      </c>
      <c r="J92" s="1" t="str">
        <f t="shared" ca="1" si="4"/>
        <v/>
      </c>
      <c r="K92" s="4">
        <f t="shared" si="5"/>
        <v>100</v>
      </c>
    </row>
    <row r="93" spans="1:11" x14ac:dyDescent="0.3">
      <c r="A93">
        <f t="shared" si="3"/>
        <v>91</v>
      </c>
      <c r="C93">
        <v>116.6</v>
      </c>
      <c r="D93" t="s">
        <v>102</v>
      </c>
      <c r="E93">
        <v>91</v>
      </c>
      <c r="F93" s="2">
        <v>116.6</v>
      </c>
      <c r="G93" t="str" cm="1">
        <f t="array" aca="1" ref="G93" ca="1">IFERROR(LEFT(C93,_xlfn.AGGREGATE(15,6,ROW(INDIRECT("1:"&amp;LEN(C93)+1))/(ISERROR(MID(C93&amp;" ",ROW(INDIRECT("1:"&amp;LEN(C93)+1)),1)*1)*(MID(C93&amp;" ",ROW(INDIRECT("1:"&amp;LEN(C93)+1)),1)&lt;&gt;".")*(MID(C93&amp;" ",ROW(INDIRECT("1:"&amp;LEN(C93)+1)),1)&lt;&gt;"-")),1)-1),C93)</f>
        <v>116.6</v>
      </c>
      <c r="H93" t="str" cm="1">
        <f t="array" ref="H93">_xlfn.XLOOKUP(TRUE,ISNUMBER(SEARCH({"easy";"medium";"moderate";"hard"},C93)),{"easy";"medium";"moderate";"hard"},"")</f>
        <v/>
      </c>
      <c r="I93" t="s">
        <v>115</v>
      </c>
      <c r="J93" s="1" t="str">
        <f t="shared" ca="1" si="4"/>
        <v/>
      </c>
      <c r="K93" s="4">
        <f t="shared" si="5"/>
        <v>101</v>
      </c>
    </row>
    <row r="94" spans="1:11" x14ac:dyDescent="0.3">
      <c r="A94">
        <f t="shared" si="3"/>
        <v>92</v>
      </c>
      <c r="C94">
        <v>290</v>
      </c>
      <c r="D94" t="s">
        <v>103</v>
      </c>
      <c r="E94">
        <v>92</v>
      </c>
      <c r="F94" s="2">
        <v>290</v>
      </c>
      <c r="G94" t="str" cm="1">
        <f t="array" aca="1" ref="G94" ca="1">IFERROR(LEFT(C94,_xlfn.AGGREGATE(15,6,ROW(INDIRECT("1:"&amp;LEN(C94)+1))/(ISERROR(MID(C94&amp;" ",ROW(INDIRECT("1:"&amp;LEN(C94)+1)),1)*1)*(MID(C94&amp;" ",ROW(INDIRECT("1:"&amp;LEN(C94)+1)),1)&lt;&gt;".")*(MID(C94&amp;" ",ROW(INDIRECT("1:"&amp;LEN(C94)+1)),1)&lt;&gt;"-")),1)-1),C94)</f>
        <v>290</v>
      </c>
      <c r="H94" t="str" cm="1">
        <f t="array" ref="H94">_xlfn.XLOOKUP(TRUE,ISNUMBER(SEARCH({"easy";"medium";"moderate";"hard"},C94)),{"easy";"medium";"moderate";"hard"},"")</f>
        <v/>
      </c>
      <c r="I94" t="s">
        <v>115</v>
      </c>
      <c r="J94" s="1" t="str">
        <f t="shared" ca="1" si="4"/>
        <v/>
      </c>
      <c r="K94" s="4">
        <f t="shared" si="5"/>
        <v>102</v>
      </c>
    </row>
    <row r="95" spans="1:11" x14ac:dyDescent="0.3">
      <c r="A95">
        <f t="shared" si="3"/>
        <v>93</v>
      </c>
      <c r="C95">
        <v>2.36</v>
      </c>
      <c r="D95" t="s">
        <v>104</v>
      </c>
      <c r="E95">
        <v>93</v>
      </c>
      <c r="F95" s="2">
        <v>2.36</v>
      </c>
      <c r="G95" t="str" cm="1">
        <f t="array" aca="1" ref="G95" ca="1">IFERROR(LEFT(C95,_xlfn.AGGREGATE(15,6,ROW(INDIRECT("1:"&amp;LEN(C95)+1))/(ISERROR(MID(C95&amp;" ",ROW(INDIRECT("1:"&amp;LEN(C95)+1)),1)*1)*(MID(C95&amp;" ",ROW(INDIRECT("1:"&amp;LEN(C95)+1)),1)&lt;&gt;".")*(MID(C95&amp;" ",ROW(INDIRECT("1:"&amp;LEN(C95)+1)),1)&lt;&gt;"-")),1)-1),C95)</f>
        <v>2.36</v>
      </c>
      <c r="H95" t="str" cm="1">
        <f t="array" ref="H95">_xlfn.XLOOKUP(TRUE,ISNUMBER(SEARCH({"easy";"medium";"moderate";"hard"},C95)),{"easy";"medium";"moderate";"hard"},"")</f>
        <v/>
      </c>
      <c r="I95" t="s">
        <v>115</v>
      </c>
      <c r="J95" s="1" t="str">
        <f t="shared" ca="1" si="4"/>
        <v/>
      </c>
      <c r="K95" s="4">
        <f t="shared" si="5"/>
        <v>103</v>
      </c>
    </row>
    <row r="96" spans="1:11" x14ac:dyDescent="0.3">
      <c r="A96">
        <f t="shared" si="3"/>
        <v>94</v>
      </c>
      <c r="C96">
        <v>305.3</v>
      </c>
      <c r="D96" t="s">
        <v>105</v>
      </c>
      <c r="E96">
        <v>94</v>
      </c>
      <c r="F96" s="2">
        <v>305.3</v>
      </c>
      <c r="G96" t="str" cm="1">
        <f t="array" aca="1" ref="G96" ca="1">IFERROR(LEFT(C96,_xlfn.AGGREGATE(15,6,ROW(INDIRECT("1:"&amp;LEN(C96)+1))/(ISERROR(MID(C96&amp;" ",ROW(INDIRECT("1:"&amp;LEN(C96)+1)),1)*1)*(MID(C96&amp;" ",ROW(INDIRECT("1:"&amp;LEN(C96)+1)),1)&lt;&gt;".")*(MID(C96&amp;" ",ROW(INDIRECT("1:"&amp;LEN(C96)+1)),1)&lt;&gt;"-")),1)-1),C96)</f>
        <v>305.3</v>
      </c>
      <c r="H96" t="str" cm="1">
        <f t="array" ref="H96">_xlfn.XLOOKUP(TRUE,ISNUMBER(SEARCH({"easy";"medium";"moderate";"hard"},C96)),{"easy";"medium";"moderate";"hard"},"")</f>
        <v/>
      </c>
      <c r="I96" t="s">
        <v>115</v>
      </c>
      <c r="J96" s="1" t="str">
        <f t="shared" ca="1" si="4"/>
        <v/>
      </c>
      <c r="K96" s="4">
        <f t="shared" si="5"/>
        <v>104</v>
      </c>
    </row>
    <row r="97" spans="1:11" x14ac:dyDescent="0.3">
      <c r="A97">
        <f t="shared" si="3"/>
        <v>95</v>
      </c>
      <c r="C97">
        <v>278.10000000000002</v>
      </c>
      <c r="D97" t="s">
        <v>106</v>
      </c>
      <c r="E97">
        <v>95</v>
      </c>
      <c r="F97" s="2">
        <v>278.10000000000002</v>
      </c>
      <c r="G97" t="str" cm="1">
        <f t="array" aca="1" ref="G97" ca="1">IFERROR(LEFT(C97,_xlfn.AGGREGATE(15,6,ROW(INDIRECT("1:"&amp;LEN(C97)+1))/(ISERROR(MID(C97&amp;" ",ROW(INDIRECT("1:"&amp;LEN(C97)+1)),1)*1)*(MID(C97&amp;" ",ROW(INDIRECT("1:"&amp;LEN(C97)+1)),1)&lt;&gt;".")*(MID(C97&amp;" ",ROW(INDIRECT("1:"&amp;LEN(C97)+1)),1)&lt;&gt;"-")),1)-1),C97)</f>
        <v>278.1</v>
      </c>
      <c r="H97" t="str" cm="1">
        <f t="array" ref="H97">_xlfn.XLOOKUP(TRUE,ISNUMBER(SEARCH({"easy";"medium";"moderate";"hard"},C97)),{"easy";"medium";"moderate";"hard"},"")</f>
        <v/>
      </c>
      <c r="I97" t="s">
        <v>115</v>
      </c>
      <c r="J97" s="1" t="str">
        <f t="shared" ca="1" si="4"/>
        <v/>
      </c>
      <c r="K97" s="4">
        <f t="shared" si="5"/>
        <v>105</v>
      </c>
    </row>
    <row r="98" spans="1:11" x14ac:dyDescent="0.3">
      <c r="A98">
        <f>A97+1</f>
        <v>96</v>
      </c>
      <c r="C98">
        <v>43</v>
      </c>
      <c r="D98" t="s">
        <v>107</v>
      </c>
      <c r="E98">
        <v>96</v>
      </c>
      <c r="F98" s="2">
        <v>43</v>
      </c>
      <c r="G98" t="str" cm="1">
        <f t="array" aca="1" ref="G98" ca="1">IFERROR(LEFT(C98,_xlfn.AGGREGATE(15,6,ROW(INDIRECT("1:"&amp;LEN(C98)+1))/(ISERROR(MID(C98&amp;" ",ROW(INDIRECT("1:"&amp;LEN(C98)+1)),1)*1)*(MID(C98&amp;" ",ROW(INDIRECT("1:"&amp;LEN(C98)+1)),1)&lt;&gt;".")*(MID(C98&amp;" ",ROW(INDIRECT("1:"&amp;LEN(C98)+1)),1)&lt;&gt;"-")),1)-1),C98)</f>
        <v>43</v>
      </c>
      <c r="H98" t="str" cm="1">
        <f t="array" ref="H98">_xlfn.XLOOKUP(TRUE,ISNUMBER(SEARCH({"easy";"medium";"moderate";"hard"},C98)),{"easy";"medium";"moderate";"hard"},"")</f>
        <v/>
      </c>
      <c r="I98" t="s">
        <v>115</v>
      </c>
      <c r="J98" s="1" t="str">
        <f t="shared" ca="1" si="4"/>
        <v/>
      </c>
      <c r="K98" s="4">
        <f t="shared" si="5"/>
        <v>106</v>
      </c>
    </row>
    <row r="99" spans="1:11" x14ac:dyDescent="0.3">
      <c r="A99">
        <f t="shared" ref="A99:A136" si="6">A98+1</f>
        <v>97</v>
      </c>
      <c r="C99">
        <v>28</v>
      </c>
      <c r="D99" t="s">
        <v>108</v>
      </c>
      <c r="E99">
        <v>97</v>
      </c>
      <c r="F99" s="2">
        <v>28</v>
      </c>
      <c r="G99" t="str" cm="1">
        <f t="array" aca="1" ref="G99" ca="1">IFERROR(LEFT(C99,_xlfn.AGGREGATE(15,6,ROW(INDIRECT("1:"&amp;LEN(C99)+1))/(ISERROR(MID(C99&amp;" ",ROW(INDIRECT("1:"&amp;LEN(C99)+1)),1)*1)*(MID(C99&amp;" ",ROW(INDIRECT("1:"&amp;LEN(C99)+1)),1)&lt;&gt;".")*(MID(C99&amp;" ",ROW(INDIRECT("1:"&amp;LEN(C99)+1)),1)&lt;&gt;"-")),1)-1),C99)</f>
        <v>28</v>
      </c>
      <c r="H99" t="str" cm="1">
        <f t="array" ref="H99">_xlfn.XLOOKUP(TRUE,ISNUMBER(SEARCH({"easy";"medium";"moderate";"hard"},C99)),{"easy";"medium";"moderate";"hard"},"")</f>
        <v/>
      </c>
      <c r="I99" t="s">
        <v>115</v>
      </c>
      <c r="J99" s="1" t="str">
        <f t="shared" ca="1" si="4"/>
        <v/>
      </c>
      <c r="K99" s="4">
        <f t="shared" si="5"/>
        <v>107</v>
      </c>
    </row>
    <row r="100" spans="1:11" x14ac:dyDescent="0.3">
      <c r="A100">
        <f t="shared" si="6"/>
        <v>98</v>
      </c>
      <c r="C100">
        <v>0.98299999999999998</v>
      </c>
      <c r="D100" t="s">
        <v>109</v>
      </c>
      <c r="E100">
        <v>98</v>
      </c>
      <c r="F100" s="2">
        <v>0.98299999999999998</v>
      </c>
      <c r="G100" t="str" cm="1">
        <f t="array" aca="1" ref="G100" ca="1">IFERROR(LEFT(C100,_xlfn.AGGREGATE(15,6,ROW(INDIRECT("1:"&amp;LEN(C100)+1))/(ISERROR(MID(C100&amp;" ",ROW(INDIRECT("1:"&amp;LEN(C100)+1)),1)*1)*(MID(C100&amp;" ",ROW(INDIRECT("1:"&amp;LEN(C100)+1)),1)&lt;&gt;".")*(MID(C100&amp;" ",ROW(INDIRECT("1:"&amp;LEN(C100)+1)),1)&lt;&gt;"-")),1)-1),C100)</f>
        <v>0.983</v>
      </c>
      <c r="H100" t="str" cm="1">
        <f t="array" ref="H100">_xlfn.XLOOKUP(TRUE,ISNUMBER(SEARCH({"easy";"medium";"moderate";"hard"},C100)),{"easy";"medium";"moderate";"hard"},"")</f>
        <v/>
      </c>
      <c r="I100" t="s">
        <v>115</v>
      </c>
      <c r="J100" s="1" t="str">
        <f t="shared" ca="1" si="4"/>
        <v/>
      </c>
      <c r="K100" s="4">
        <f t="shared" si="5"/>
        <v>108</v>
      </c>
    </row>
    <row r="101" spans="1:11" x14ac:dyDescent="0.3">
      <c r="A101">
        <f t="shared" si="6"/>
        <v>99</v>
      </c>
      <c r="C101">
        <v>414</v>
      </c>
      <c r="D101" t="s">
        <v>110</v>
      </c>
      <c r="E101">
        <v>99</v>
      </c>
      <c r="F101" s="2">
        <v>414</v>
      </c>
      <c r="G101" t="str" cm="1">
        <f t="array" aca="1" ref="G101" ca="1">IFERROR(LEFT(C101,_xlfn.AGGREGATE(15,6,ROW(INDIRECT("1:"&amp;LEN(C101)+1))/(ISERROR(MID(C101&amp;" ",ROW(INDIRECT("1:"&amp;LEN(C101)+1)),1)*1)*(MID(C101&amp;" ",ROW(INDIRECT("1:"&amp;LEN(C101)+1)),1)&lt;&gt;".")*(MID(C101&amp;" ",ROW(INDIRECT("1:"&amp;LEN(C101)+1)),1)&lt;&gt;"-")),1)-1),C101)</f>
        <v>414</v>
      </c>
      <c r="H101" t="str" cm="1">
        <f t="array" ref="H101">_xlfn.XLOOKUP(TRUE,ISNUMBER(SEARCH({"easy";"medium";"moderate";"hard"},C101)),{"easy";"medium";"moderate";"hard"},"")</f>
        <v/>
      </c>
      <c r="I101" t="s">
        <v>115</v>
      </c>
      <c r="J101" s="1" t="str">
        <f t="shared" ca="1" si="4"/>
        <v/>
      </c>
      <c r="K101" s="4">
        <f t="shared" si="5"/>
        <v>109</v>
      </c>
    </row>
    <row r="102" spans="1:11" x14ac:dyDescent="0.3">
      <c r="A102">
        <f t="shared" si="6"/>
        <v>100</v>
      </c>
      <c r="H102" t="str" cm="1">
        <f t="array" ref="H102">_xlfn.XLOOKUP(TRUE,ISNUMBER(SEARCH({"easy";"medium";"moderate";"hard"},C102)),{"easy";"medium";"moderate";"hard"},"")</f>
        <v/>
      </c>
      <c r="I102" t="s">
        <v>116</v>
      </c>
      <c r="J102" s="1" t="str">
        <f t="shared" si="4"/>
        <v/>
      </c>
    </row>
    <row r="103" spans="1:11" x14ac:dyDescent="0.3">
      <c r="A103">
        <f t="shared" si="6"/>
        <v>101</v>
      </c>
      <c r="H103" t="str" cm="1">
        <f t="array" ref="H103">_xlfn.XLOOKUP(TRUE,ISNUMBER(SEARCH({"easy";"medium";"moderate";"hard"},C103)),{"easy";"medium";"moderate";"hard"},"")</f>
        <v/>
      </c>
      <c r="I103" t="s">
        <v>116</v>
      </c>
      <c r="J103" s="1" t="str">
        <f t="shared" si="4"/>
        <v/>
      </c>
    </row>
    <row r="104" spans="1:11" x14ac:dyDescent="0.3">
      <c r="A104">
        <f t="shared" si="6"/>
        <v>102</v>
      </c>
      <c r="H104" t="str" cm="1">
        <f t="array" ref="H104">_xlfn.XLOOKUP(TRUE,ISNUMBER(SEARCH({"easy";"medium";"moderate";"hard"},C104)),{"easy";"medium";"moderate";"hard"},"")</f>
        <v/>
      </c>
      <c r="I104" t="s">
        <v>116</v>
      </c>
      <c r="J104" s="1" t="str">
        <f t="shared" si="4"/>
        <v/>
      </c>
    </row>
    <row r="105" spans="1:11" x14ac:dyDescent="0.3">
      <c r="A105">
        <f t="shared" si="6"/>
        <v>103</v>
      </c>
      <c r="H105" t="str" cm="1">
        <f t="array" ref="H105">_xlfn.XLOOKUP(TRUE,ISNUMBER(SEARCH({"easy";"medium";"moderate";"hard"},C105)),{"easy";"medium";"moderate";"hard"},"")</f>
        <v/>
      </c>
      <c r="I105" t="s">
        <v>116</v>
      </c>
      <c r="J105" s="1" t="str">
        <f t="shared" si="4"/>
        <v/>
      </c>
    </row>
    <row r="106" spans="1:11" x14ac:dyDescent="0.3">
      <c r="A106">
        <f t="shared" si="6"/>
        <v>104</v>
      </c>
      <c r="H106" t="str" cm="1">
        <f t="array" ref="H106">_xlfn.XLOOKUP(TRUE,ISNUMBER(SEARCH({"easy";"medium";"moderate";"hard"},C106)),{"easy";"medium";"moderate";"hard"},"")</f>
        <v/>
      </c>
      <c r="I106" t="s">
        <v>116</v>
      </c>
      <c r="J106" s="1" t="str">
        <f t="shared" si="4"/>
        <v/>
      </c>
    </row>
    <row r="107" spans="1:11" x14ac:dyDescent="0.3">
      <c r="A107">
        <f t="shared" si="6"/>
        <v>105</v>
      </c>
      <c r="H107" t="str" cm="1">
        <f t="array" ref="H107">_xlfn.XLOOKUP(TRUE,ISNUMBER(SEARCH({"easy";"medium";"moderate";"hard"},C107)),{"easy";"medium";"moderate";"hard"},"")</f>
        <v/>
      </c>
      <c r="I107" t="s">
        <v>116</v>
      </c>
      <c r="J107" s="1" t="str">
        <f t="shared" si="4"/>
        <v/>
      </c>
    </row>
    <row r="108" spans="1:11" x14ac:dyDescent="0.3">
      <c r="A108">
        <f t="shared" si="6"/>
        <v>106</v>
      </c>
      <c r="H108" t="str" cm="1">
        <f t="array" ref="H108">_xlfn.XLOOKUP(TRUE,ISNUMBER(SEARCH({"easy";"medium";"moderate";"hard"},C108)),{"easy";"medium";"moderate";"hard"},"")</f>
        <v/>
      </c>
      <c r="I108" t="s">
        <v>116</v>
      </c>
      <c r="J108" s="1" t="str">
        <f t="shared" si="4"/>
        <v/>
      </c>
    </row>
    <row r="109" spans="1:11" x14ac:dyDescent="0.3">
      <c r="A109">
        <f t="shared" si="6"/>
        <v>107</v>
      </c>
      <c r="H109" t="str" cm="1">
        <f t="array" ref="H109">_xlfn.XLOOKUP(TRUE,ISNUMBER(SEARCH({"easy";"medium";"moderate";"hard"},C109)),{"easy";"medium";"moderate";"hard"},"")</f>
        <v/>
      </c>
      <c r="I109" t="s">
        <v>116</v>
      </c>
      <c r="J109" s="1" t="str">
        <f t="shared" si="4"/>
        <v/>
      </c>
    </row>
    <row r="110" spans="1:11" x14ac:dyDescent="0.3">
      <c r="A110">
        <f t="shared" si="6"/>
        <v>108</v>
      </c>
      <c r="H110" t="str" cm="1">
        <f t="array" ref="H110">_xlfn.XLOOKUP(TRUE,ISNUMBER(SEARCH({"easy";"medium";"moderate";"hard"},C110)),{"easy";"medium";"moderate";"hard"},"")</f>
        <v/>
      </c>
      <c r="I110" t="s">
        <v>116</v>
      </c>
      <c r="J110" s="1" t="str">
        <f t="shared" si="4"/>
        <v/>
      </c>
    </row>
    <row r="111" spans="1:11" x14ac:dyDescent="0.3">
      <c r="A111">
        <f t="shared" si="6"/>
        <v>109</v>
      </c>
      <c r="H111" t="str" cm="1">
        <f t="array" ref="H111">_xlfn.XLOOKUP(TRUE,ISNUMBER(SEARCH({"easy";"medium";"moderate";"hard"},C111)),{"easy";"medium";"moderate";"hard"},"")</f>
        <v/>
      </c>
      <c r="I111" t="s">
        <v>116</v>
      </c>
      <c r="J111" s="1" t="str">
        <f t="shared" si="4"/>
        <v/>
      </c>
    </row>
    <row r="112" spans="1:11" x14ac:dyDescent="0.3">
      <c r="A112">
        <f t="shared" si="6"/>
        <v>110</v>
      </c>
      <c r="H112" t="str" cm="1">
        <f t="array" ref="H112">_xlfn.XLOOKUP(TRUE,ISNUMBER(SEARCH({"easy";"medium";"moderate";"hard"},C112)),{"easy";"medium";"moderate";"hard"},"")</f>
        <v/>
      </c>
      <c r="I112" t="s">
        <v>116</v>
      </c>
      <c r="J112" s="1" t="str">
        <f t="shared" si="4"/>
        <v/>
      </c>
    </row>
    <row r="113" spans="1:10" x14ac:dyDescent="0.3">
      <c r="A113">
        <f t="shared" si="6"/>
        <v>111</v>
      </c>
      <c r="H113" t="str" cm="1">
        <f t="array" ref="H113">_xlfn.XLOOKUP(TRUE,ISNUMBER(SEARCH({"easy";"medium";"moderate";"hard"},C113)),{"easy";"medium";"moderate";"hard"},"")</f>
        <v/>
      </c>
      <c r="I113" t="s">
        <v>116</v>
      </c>
      <c r="J113" s="1" t="str">
        <f t="shared" si="4"/>
        <v/>
      </c>
    </row>
    <row r="114" spans="1:10" x14ac:dyDescent="0.3">
      <c r="A114">
        <f t="shared" si="6"/>
        <v>112</v>
      </c>
      <c r="H114" t="str" cm="1">
        <f t="array" ref="H114">_xlfn.XLOOKUP(TRUE,ISNUMBER(SEARCH({"easy";"medium";"moderate";"hard"},C114)),{"easy";"medium";"moderate";"hard"},"")</f>
        <v/>
      </c>
      <c r="I114" t="s">
        <v>116</v>
      </c>
      <c r="J114" s="1" t="str">
        <f t="shared" si="4"/>
        <v/>
      </c>
    </row>
    <row r="115" spans="1:10" x14ac:dyDescent="0.3">
      <c r="A115">
        <f t="shared" si="6"/>
        <v>113</v>
      </c>
      <c r="H115" t="str" cm="1">
        <f t="array" ref="H115">_xlfn.XLOOKUP(TRUE,ISNUMBER(SEARCH({"easy";"medium";"moderate";"hard"},C115)),{"easy";"medium";"moderate";"hard"},"")</f>
        <v/>
      </c>
      <c r="I115" t="s">
        <v>116</v>
      </c>
      <c r="J115" s="1" t="str">
        <f t="shared" si="4"/>
        <v/>
      </c>
    </row>
    <row r="116" spans="1:10" x14ac:dyDescent="0.3">
      <c r="A116">
        <f t="shared" si="6"/>
        <v>114</v>
      </c>
      <c r="H116" t="str" cm="1">
        <f t="array" ref="H116">_xlfn.XLOOKUP(TRUE,ISNUMBER(SEARCH({"easy";"medium";"moderate";"hard"},C116)),{"easy";"medium";"moderate";"hard"},"")</f>
        <v/>
      </c>
      <c r="I116" t="s">
        <v>116</v>
      </c>
      <c r="J116" s="1" t="str">
        <f t="shared" si="4"/>
        <v/>
      </c>
    </row>
    <row r="117" spans="1:10" x14ac:dyDescent="0.3">
      <c r="A117">
        <f t="shared" si="6"/>
        <v>115</v>
      </c>
      <c r="H117" t="str" cm="1">
        <f t="array" ref="H117">_xlfn.XLOOKUP(TRUE,ISNUMBER(SEARCH({"easy";"medium";"moderate";"hard"},C117)),{"easy";"medium";"moderate";"hard"},"")</f>
        <v/>
      </c>
      <c r="I117" t="s">
        <v>116</v>
      </c>
      <c r="J117" s="1" t="str">
        <f t="shared" si="4"/>
        <v/>
      </c>
    </row>
    <row r="118" spans="1:10" x14ac:dyDescent="0.3">
      <c r="A118">
        <f t="shared" si="6"/>
        <v>116</v>
      </c>
      <c r="H118" t="str" cm="1">
        <f t="array" ref="H118">_xlfn.XLOOKUP(TRUE,ISNUMBER(SEARCH({"easy";"medium";"moderate";"hard"},C118)),{"easy";"medium";"moderate";"hard"},"")</f>
        <v/>
      </c>
      <c r="I118" t="s">
        <v>116</v>
      </c>
      <c r="J118" s="1" t="str">
        <f t="shared" si="4"/>
        <v/>
      </c>
    </row>
    <row r="119" spans="1:10" x14ac:dyDescent="0.3">
      <c r="A119">
        <f t="shared" si="6"/>
        <v>117</v>
      </c>
      <c r="H119" t="str" cm="1">
        <f t="array" ref="H119">_xlfn.XLOOKUP(TRUE,ISNUMBER(SEARCH({"easy";"medium";"moderate";"hard"},C119)),{"easy";"medium";"moderate";"hard"},"")</f>
        <v/>
      </c>
      <c r="I119" t="s">
        <v>116</v>
      </c>
      <c r="J119" s="1" t="str">
        <f t="shared" si="4"/>
        <v/>
      </c>
    </row>
    <row r="120" spans="1:10" x14ac:dyDescent="0.3">
      <c r="A120">
        <f t="shared" si="6"/>
        <v>118</v>
      </c>
      <c r="H120" t="str" cm="1">
        <f t="array" ref="H120">_xlfn.XLOOKUP(TRUE,ISNUMBER(SEARCH({"easy";"medium";"moderate";"hard"},C120)),{"easy";"medium";"moderate";"hard"},"")</f>
        <v/>
      </c>
      <c r="I120" t="s">
        <v>116</v>
      </c>
      <c r="J120" s="1" t="str">
        <f t="shared" si="4"/>
        <v/>
      </c>
    </row>
    <row r="121" spans="1:10" x14ac:dyDescent="0.3">
      <c r="A121">
        <f t="shared" si="6"/>
        <v>119</v>
      </c>
      <c r="H121" t="str" cm="1">
        <f t="array" ref="H121">_xlfn.XLOOKUP(TRUE,ISNUMBER(SEARCH({"easy";"medium";"moderate";"hard"},C121)),{"easy";"medium";"moderate";"hard"},"")</f>
        <v/>
      </c>
      <c r="I121" t="s">
        <v>116</v>
      </c>
      <c r="J121" s="1" t="str">
        <f t="shared" si="4"/>
        <v/>
      </c>
    </row>
    <row r="122" spans="1:10" x14ac:dyDescent="0.3">
      <c r="A122">
        <f t="shared" si="6"/>
        <v>120</v>
      </c>
      <c r="H122" t="str" cm="1">
        <f t="array" ref="H122">_xlfn.XLOOKUP(TRUE,ISNUMBER(SEARCH({"easy";"medium";"moderate";"hard"},C122)),{"easy";"medium";"moderate";"hard"},"")</f>
        <v/>
      </c>
      <c r="I122" t="s">
        <v>116</v>
      </c>
      <c r="J122" s="1" t="str">
        <f t="shared" si="4"/>
        <v/>
      </c>
    </row>
    <row r="123" spans="1:10" x14ac:dyDescent="0.3">
      <c r="A123">
        <f t="shared" si="6"/>
        <v>121</v>
      </c>
      <c r="H123" t="str" cm="1">
        <f t="array" ref="H123">_xlfn.XLOOKUP(TRUE,ISNUMBER(SEARCH({"easy";"medium";"moderate";"hard"},C123)),{"easy";"medium";"moderate";"hard"},"")</f>
        <v/>
      </c>
      <c r="I123" t="s">
        <v>116</v>
      </c>
      <c r="J123" s="1" t="str">
        <f t="shared" si="4"/>
        <v/>
      </c>
    </row>
    <row r="124" spans="1:10" x14ac:dyDescent="0.3">
      <c r="A124">
        <f t="shared" si="6"/>
        <v>122</v>
      </c>
      <c r="H124" t="str" cm="1">
        <f t="array" ref="H124">_xlfn.XLOOKUP(TRUE,ISNUMBER(SEARCH({"easy";"medium";"moderate";"hard"},C124)),{"easy";"medium";"moderate";"hard"},"")</f>
        <v/>
      </c>
      <c r="I124" t="s">
        <v>116</v>
      </c>
      <c r="J124" s="1" t="str">
        <f t="shared" si="4"/>
        <v/>
      </c>
    </row>
    <row r="125" spans="1:10" x14ac:dyDescent="0.3">
      <c r="A125">
        <f t="shared" si="6"/>
        <v>123</v>
      </c>
      <c r="H125" t="str" cm="1">
        <f t="array" ref="H125">_xlfn.XLOOKUP(TRUE,ISNUMBER(SEARCH({"easy";"medium";"moderate";"hard"},C125)),{"easy";"medium";"moderate";"hard"},"")</f>
        <v/>
      </c>
      <c r="I125" t="s">
        <v>116</v>
      </c>
      <c r="J125" s="1" t="str">
        <f t="shared" si="4"/>
        <v/>
      </c>
    </row>
    <row r="126" spans="1:10" x14ac:dyDescent="0.3">
      <c r="A126">
        <f t="shared" si="6"/>
        <v>124</v>
      </c>
      <c r="H126" t="str" cm="1">
        <f t="array" ref="H126">_xlfn.XLOOKUP(TRUE,ISNUMBER(SEARCH({"easy";"medium";"moderate";"hard"},C126)),{"easy";"medium";"moderate";"hard"},"")</f>
        <v/>
      </c>
      <c r="I126" t="s">
        <v>116</v>
      </c>
      <c r="J126" s="1" t="str">
        <f t="shared" si="4"/>
        <v/>
      </c>
    </row>
    <row r="127" spans="1:10" x14ac:dyDescent="0.3">
      <c r="A127">
        <f t="shared" si="6"/>
        <v>125</v>
      </c>
      <c r="H127" t="str" cm="1">
        <f t="array" ref="H127">_xlfn.XLOOKUP(TRUE,ISNUMBER(SEARCH({"easy";"medium";"moderate";"hard"},C127)),{"easy";"medium";"moderate";"hard"},"")</f>
        <v/>
      </c>
      <c r="I127" t="s">
        <v>116</v>
      </c>
      <c r="J127" s="1" t="str">
        <f t="shared" si="4"/>
        <v/>
      </c>
    </row>
    <row r="128" spans="1:10" x14ac:dyDescent="0.3">
      <c r="A128">
        <f t="shared" si="6"/>
        <v>126</v>
      </c>
      <c r="H128" t="str" cm="1">
        <f t="array" ref="H128">_xlfn.XLOOKUP(TRUE,ISNUMBER(SEARCH({"easy";"medium";"moderate";"hard"},C128)),{"easy";"medium";"moderate";"hard"},"")</f>
        <v/>
      </c>
      <c r="I128" t="s">
        <v>116</v>
      </c>
      <c r="J128" s="1" t="str">
        <f t="shared" si="4"/>
        <v/>
      </c>
    </row>
    <row r="129" spans="1:10" x14ac:dyDescent="0.3">
      <c r="A129">
        <f t="shared" si="6"/>
        <v>127</v>
      </c>
      <c r="H129" t="str" cm="1">
        <f t="array" ref="H129">_xlfn.XLOOKUP(TRUE,ISNUMBER(SEARCH({"easy";"medium";"moderate";"hard"},C129)),{"easy";"medium";"moderate";"hard"},"")</f>
        <v/>
      </c>
      <c r="I129" t="s">
        <v>116</v>
      </c>
      <c r="J129" s="1" t="str">
        <f t="shared" si="4"/>
        <v/>
      </c>
    </row>
    <row r="130" spans="1:10" x14ac:dyDescent="0.3">
      <c r="A130">
        <f t="shared" si="6"/>
        <v>128</v>
      </c>
      <c r="H130" t="str" cm="1">
        <f t="array" ref="H130">_xlfn.XLOOKUP(TRUE,ISNUMBER(SEARCH({"easy";"medium";"moderate";"hard"},C130)),{"easy";"medium";"moderate";"hard"},"")</f>
        <v/>
      </c>
      <c r="I130" t="s">
        <v>116</v>
      </c>
      <c r="J130" s="1" t="str">
        <f t="shared" si="4"/>
        <v/>
      </c>
    </row>
    <row r="131" spans="1:10" x14ac:dyDescent="0.3">
      <c r="A131">
        <f t="shared" si="6"/>
        <v>129</v>
      </c>
      <c r="H131" t="str" cm="1">
        <f t="array" ref="H131">_xlfn.XLOOKUP(TRUE,ISNUMBER(SEARCH({"easy";"medium";"moderate";"hard"},C131)),{"easy";"medium";"moderate";"hard"},"")</f>
        <v/>
      </c>
      <c r="I131" t="s">
        <v>116</v>
      </c>
      <c r="J131" s="1" t="str">
        <f t="shared" ref="J131:J136" si="7">IF(IFERROR(VALUE(G131),G131)&lt;&gt;IFERROR(VALUE(F131),F131),"ERROR","")</f>
        <v/>
      </c>
    </row>
    <row r="132" spans="1:10" x14ac:dyDescent="0.3">
      <c r="A132">
        <f t="shared" si="6"/>
        <v>130</v>
      </c>
      <c r="H132" t="str" cm="1">
        <f t="array" ref="H132">_xlfn.XLOOKUP(TRUE,ISNUMBER(SEARCH({"easy";"medium";"moderate";"hard"},C132)),{"easy";"medium";"moderate";"hard"},"")</f>
        <v/>
      </c>
      <c r="I132" t="s">
        <v>116</v>
      </c>
      <c r="J132" s="1" t="str">
        <f t="shared" si="7"/>
        <v/>
      </c>
    </row>
    <row r="133" spans="1:10" x14ac:dyDescent="0.3">
      <c r="A133">
        <f t="shared" si="6"/>
        <v>131</v>
      </c>
      <c r="H133" t="str" cm="1">
        <f t="array" ref="H133">_xlfn.XLOOKUP(TRUE,ISNUMBER(SEARCH({"easy";"medium";"moderate";"hard"},C133)),{"easy";"medium";"moderate";"hard"},"")</f>
        <v/>
      </c>
      <c r="I133" t="s">
        <v>116</v>
      </c>
      <c r="J133" s="1" t="str">
        <f t="shared" si="7"/>
        <v/>
      </c>
    </row>
    <row r="134" spans="1:10" x14ac:dyDescent="0.3">
      <c r="A134">
        <f t="shared" si="6"/>
        <v>132</v>
      </c>
      <c r="H134" t="str" cm="1">
        <f t="array" ref="H134">_xlfn.XLOOKUP(TRUE,ISNUMBER(SEARCH({"easy";"medium";"moderate";"hard"},C134)),{"easy";"medium";"moderate";"hard"},"")</f>
        <v/>
      </c>
      <c r="I134" t="s">
        <v>116</v>
      </c>
      <c r="J134" s="1" t="str">
        <f t="shared" si="7"/>
        <v/>
      </c>
    </row>
    <row r="135" spans="1:10" x14ac:dyDescent="0.3">
      <c r="A135">
        <f t="shared" si="6"/>
        <v>133</v>
      </c>
      <c r="H135" t="str" cm="1">
        <f t="array" ref="H135">_xlfn.XLOOKUP(TRUE,ISNUMBER(SEARCH({"easy";"medium";"moderate";"hard"},C135)),{"easy";"medium";"moderate";"hard"},"")</f>
        <v/>
      </c>
      <c r="I135" t="s">
        <v>116</v>
      </c>
      <c r="J135" s="1" t="str">
        <f t="shared" si="7"/>
        <v/>
      </c>
    </row>
    <row r="136" spans="1:10" x14ac:dyDescent="0.3">
      <c r="A136">
        <f t="shared" si="6"/>
        <v>134</v>
      </c>
      <c r="H136" t="str" cm="1">
        <f t="array" ref="H136">_xlfn.XLOOKUP(TRUE,ISNUMBER(SEARCH({"easy";"medium";"moderate";"hard"},C136)),{"easy";"medium";"moderate";"hard"},"")</f>
        <v/>
      </c>
      <c r="I136" t="s">
        <v>116</v>
      </c>
      <c r="J136" s="1" t="str">
        <f t="shared" si="7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2026-03-21T13:41:49Z</dcterms:modified>
</cp:coreProperties>
</file>