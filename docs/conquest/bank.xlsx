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js\games\docs\conquest\"/>
    </mc:Choice>
  </mc:AlternateContent>
  <bookViews>
    <workbookView xWindow="-110" yWindow="-110" windowWidth="23260" windowHeight="12580"/>
  </bookViews>
  <sheets>
    <sheet name="Sheet1" sheetId="1" r:id="rId1"/>
  </sheets>
  <definedNames>
    <definedName name="_xlnm._FilterDatabase" localSheetId="0" hidden="1">Sheet1!$A$1:$Q$136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/>
  <c r="Q5" i="1"/>
  <c r="Q7" i="1"/>
  <c r="Q20" i="1"/>
  <c r="Q21" i="1"/>
  <c r="Q22" i="1"/>
  <c r="Q8" i="1"/>
  <c r="Q23" i="1"/>
  <c r="Q2" i="1"/>
  <c r="Q9" i="1"/>
  <c r="Q24" i="1"/>
  <c r="Q10" i="1"/>
  <c r="Q25" i="1"/>
  <c r="Q26" i="1"/>
  <c r="Q27" i="1"/>
  <c r="Q11" i="1"/>
  <c r="Q12" i="1"/>
  <c r="Q13" i="1"/>
  <c r="Q14" i="1"/>
  <c r="Q28" i="1"/>
  <c r="Q3" i="1"/>
  <c r="Q29" i="1"/>
  <c r="Q30" i="1"/>
  <c r="Q31" i="1"/>
  <c r="Q32" i="1"/>
  <c r="Q15" i="1"/>
  <c r="Q4" i="1"/>
  <c r="Q16" i="1"/>
  <c r="Q33" i="1"/>
  <c r="Q34" i="1"/>
  <c r="Q35" i="1"/>
  <c r="Q17" i="1"/>
  <c r="Q36" i="1"/>
  <c r="Q18" i="1"/>
  <c r="Q19" i="1"/>
  <c r="Q6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6" i="1"/>
  <c r="H7" i="1"/>
  <c r="H20" i="1"/>
  <c r="H21" i="1"/>
  <c r="H22" i="1"/>
  <c r="H8" i="1"/>
  <c r="H23" i="1"/>
  <c r="H2" i="1"/>
  <c r="H9" i="1"/>
  <c r="H24" i="1"/>
  <c r="H10" i="1"/>
  <c r="H25" i="1"/>
  <c r="H26" i="1"/>
  <c r="H27" i="1"/>
  <c r="H11" i="1"/>
  <c r="H12" i="1"/>
  <c r="H13" i="1"/>
  <c r="H14" i="1"/>
  <c r="H28" i="1"/>
  <c r="H3" i="1"/>
  <c r="H29" i="1"/>
  <c r="H30" i="1"/>
  <c r="H31" i="1"/>
  <c r="H32" i="1"/>
  <c r="H15" i="1"/>
  <c r="H4" i="1"/>
  <c r="H16" i="1"/>
  <c r="H33" i="1"/>
  <c r="H34" i="1"/>
  <c r="H35" i="1"/>
  <c r="H17" i="1"/>
  <c r="H36" i="1"/>
  <c r="H18" i="1"/>
  <c r="H19" i="1"/>
  <c r="H5" i="1"/>
  <c r="H38" i="1"/>
  <c r="H39" i="1"/>
  <c r="H40" i="1"/>
  <c r="H41" i="1"/>
  <c r="H42" i="1"/>
  <c r="H43" i="1"/>
  <c r="H44" i="1"/>
  <c r="H45" i="1"/>
  <c r="H46" i="1"/>
  <c r="H47" i="1"/>
  <c r="H48" i="1"/>
  <c r="H37" i="1"/>
  <c r="G24" i="1" a="1"/>
  <c r="G27" i="1" a="1"/>
  <c r="G14" i="1" a="1"/>
  <c r="G30" i="1" a="1"/>
  <c r="G4" i="1" a="1"/>
  <c r="G35" i="1" a="1"/>
  <c r="G19" i="1" a="1"/>
  <c r="G10" i="1" a="1"/>
  <c r="G11" i="1" a="1"/>
  <c r="G28" i="1" a="1"/>
  <c r="G31" i="1" a="1"/>
  <c r="G16" i="1" a="1"/>
  <c r="G17" i="1" a="1"/>
  <c r="G5" i="1" a="1"/>
  <c r="G25" i="1" a="1"/>
  <c r="G12" i="1" a="1"/>
  <c r="G3" i="1" a="1"/>
  <c r="G32" i="1" a="1"/>
  <c r="G33" i="1" a="1"/>
  <c r="G36" i="1" a="1"/>
  <c r="G26" i="1" a="1"/>
  <c r="G13" i="1" a="1"/>
  <c r="G29" i="1" a="1"/>
  <c r="G15" i="1" a="1"/>
  <c r="G34" i="1" a="1"/>
  <c r="G18" i="1" a="1"/>
  <c r="G6" i="1" a="1"/>
  <c r="G22" i="1" a="1"/>
  <c r="G9" i="1" a="1"/>
  <c r="G7" i="1" a="1"/>
  <c r="G8" i="1" a="1"/>
  <c r="G20" i="1" a="1"/>
  <c r="G23" i="1" a="1"/>
  <c r="G21" i="1" a="1"/>
  <c r="G18" i="1" l="1"/>
  <c r="N18" i="1" s="1"/>
  <c r="G34" i="1"/>
  <c r="N34" i="1" s="1"/>
  <c r="G15" i="1"/>
  <c r="N15" i="1" s="1"/>
  <c r="G29" i="1"/>
  <c r="N29" i="1" s="1"/>
  <c r="G13" i="1"/>
  <c r="N13" i="1" s="1"/>
  <c r="G26" i="1"/>
  <c r="N26" i="1" s="1"/>
  <c r="G36" i="1"/>
  <c r="N36" i="1" s="1"/>
  <c r="G33" i="1"/>
  <c r="N33" i="1" s="1"/>
  <c r="G32" i="1"/>
  <c r="N32" i="1" s="1"/>
  <c r="G3" i="1"/>
  <c r="N3" i="1" s="1"/>
  <c r="G12" i="1"/>
  <c r="N12" i="1" s="1"/>
  <c r="G25" i="1"/>
  <c r="N25" i="1" s="1"/>
  <c r="G5" i="1"/>
  <c r="N5" i="1" s="1"/>
  <c r="G17" i="1"/>
  <c r="N17" i="1" s="1"/>
  <c r="G16" i="1"/>
  <c r="N16" i="1" s="1"/>
  <c r="G31" i="1"/>
  <c r="N31" i="1" s="1"/>
  <c r="G28" i="1"/>
  <c r="N28" i="1" s="1"/>
  <c r="G11" i="1"/>
  <c r="N11" i="1" s="1"/>
  <c r="G10" i="1"/>
  <c r="N10" i="1" s="1"/>
  <c r="G19" i="1"/>
  <c r="N19" i="1" s="1"/>
  <c r="G35" i="1"/>
  <c r="N35" i="1" s="1"/>
  <c r="G4" i="1"/>
  <c r="N4" i="1" s="1"/>
  <c r="G30" i="1"/>
  <c r="N30" i="1" s="1"/>
  <c r="G14" i="1"/>
  <c r="N14" i="1" s="1"/>
  <c r="G27" i="1"/>
  <c r="N27" i="1" s="1"/>
  <c r="G24" i="1"/>
  <c r="N24" i="1" s="1"/>
  <c r="N2" i="1"/>
  <c r="G21" i="1"/>
  <c r="N21" i="1" s="1"/>
  <c r="G23" i="1"/>
  <c r="N23" i="1" s="1"/>
  <c r="G20" i="1"/>
  <c r="N20" i="1" s="1"/>
  <c r="G8" i="1"/>
  <c r="N8" i="1" s="1"/>
  <c r="G7" i="1"/>
  <c r="N7" i="1" s="1"/>
  <c r="G9" i="1"/>
  <c r="N9" i="1" s="1"/>
  <c r="G22" i="1"/>
  <c r="N22" i="1" s="1"/>
  <c r="G6" i="1"/>
  <c r="N6" i="1" s="1"/>
  <c r="J37" i="1"/>
  <c r="A38" i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G68" i="1" a="1"/>
  <c r="G71" i="1" a="1"/>
  <c r="G74" i="1" a="1"/>
  <c r="G131" i="1" a="1"/>
  <c r="G53" i="1" a="1"/>
  <c r="G64" i="1" a="1"/>
  <c r="G106" i="1" a="1"/>
  <c r="G116" i="1" a="1"/>
  <c r="G111" i="1" a="1"/>
  <c r="G82" i="1" a="1"/>
  <c r="G58" i="1" a="1"/>
  <c r="G125" i="1" a="1"/>
  <c r="G52" i="1" a="1"/>
  <c r="G67" i="1" a="1"/>
  <c r="G124" i="1" a="1"/>
  <c r="G40" i="1" a="1"/>
  <c r="G39" i="1" a="1"/>
  <c r="G45" i="1" a="1"/>
  <c r="G98" i="1" a="1"/>
  <c r="G132" i="1" a="1"/>
  <c r="G38" i="1" a="1"/>
  <c r="G109" i="1" a="1"/>
  <c r="G127" i="1" a="1"/>
  <c r="G96" i="1" a="1"/>
  <c r="G59" i="1" a="1"/>
  <c r="G94" i="1" a="1"/>
  <c r="G72" i="1" a="1"/>
  <c r="G114" i="1" a="1"/>
  <c r="G69" i="1" a="1"/>
  <c r="G86" i="1" a="1"/>
  <c r="G51" i="1" a="1"/>
  <c r="G66" i="1" a="1"/>
  <c r="G75" i="1" a="1"/>
  <c r="G42" i="1" a="1"/>
  <c r="G101" i="1" a="1"/>
  <c r="G87" i="1" a="1"/>
  <c r="G91" i="1" a="1"/>
  <c r="G128" i="1" a="1"/>
  <c r="G44" i="1" a="1"/>
  <c r="G50" i="1" a="1"/>
  <c r="G83" i="1" a="1"/>
  <c r="G135" i="1" a="1"/>
  <c r="G122" i="1" a="1"/>
  <c r="G81" i="1" a="1"/>
  <c r="G117" i="1" a="1"/>
  <c r="G41" i="1" a="1"/>
  <c r="G57" i="1" a="1"/>
  <c r="G93" i="1" a="1"/>
  <c r="G76" i="1" a="1"/>
  <c r="G129" i="1" a="1"/>
  <c r="G120" i="1" a="1"/>
  <c r="G47" i="1" a="1"/>
  <c r="G95" i="1" a="1"/>
  <c r="G85" i="1" a="1"/>
  <c r="G108" i="1" a="1"/>
  <c r="G49" i="1" a="1"/>
  <c r="G78" i="1" a="1"/>
  <c r="G73" i="1" a="1"/>
  <c r="G48" i="1" a="1"/>
  <c r="G80" i="1" a="1"/>
  <c r="G105" i="1" a="1"/>
  <c r="G134" i="1" a="1"/>
  <c r="G104" i="1" a="1"/>
  <c r="G56" i="1" a="1"/>
  <c r="G46" i="1" a="1"/>
  <c r="G65" i="1" a="1"/>
  <c r="G130" i="1" a="1"/>
  <c r="G103" i="1" a="1"/>
  <c r="G113" i="1" a="1"/>
  <c r="G110" i="1" a="1"/>
  <c r="G133" i="1" a="1"/>
  <c r="G89" i="1" a="1"/>
  <c r="G54" i="1" a="1"/>
  <c r="G84" i="1" a="1"/>
  <c r="G123" i="1" a="1"/>
  <c r="G70" i="1" a="1"/>
  <c r="G60" i="1" a="1"/>
  <c r="G90" i="1" a="1"/>
  <c r="G99" i="1" a="1"/>
  <c r="G79" i="1" a="1"/>
  <c r="G92" i="1" a="1"/>
  <c r="G55" i="1" a="1"/>
  <c r="G126" i="1" a="1"/>
  <c r="G115" i="1" a="1"/>
  <c r="G112" i="1" a="1"/>
  <c r="G43" i="1" a="1"/>
  <c r="G121" i="1" a="1"/>
  <c r="G118" i="1" a="1"/>
  <c r="G63" i="1" a="1"/>
  <c r="G62" i="1" a="1"/>
  <c r="G102" i="1" a="1"/>
  <c r="G37" i="1" a="1"/>
  <c r="G61" i="1" a="1"/>
  <c r="G97" i="1" a="1"/>
  <c r="G107" i="1" a="1"/>
  <c r="G119" i="1" a="1"/>
  <c r="G77" i="1" a="1"/>
  <c r="G136" i="1" a="1"/>
  <c r="G88" i="1" a="1"/>
  <c r="G100" i="1" a="1"/>
  <c r="J45" i="1" l="1"/>
  <c r="J128" i="1"/>
  <c r="J106" i="1"/>
  <c r="J83" i="1"/>
  <c r="J64" i="1"/>
  <c r="J104" i="1"/>
  <c r="J82" i="1"/>
  <c r="J42" i="1"/>
  <c r="J99" i="1"/>
  <c r="J120" i="1"/>
  <c r="J75" i="1"/>
  <c r="J56" i="1"/>
  <c r="J39" i="1"/>
  <c r="J96" i="1"/>
  <c r="J51" i="1"/>
  <c r="J136" i="1"/>
  <c r="J91" i="1"/>
  <c r="J50" i="1"/>
  <c r="J48" i="1"/>
  <c r="J131" i="1"/>
  <c r="J112" i="1"/>
  <c r="J90" i="1"/>
  <c r="J67" i="1"/>
  <c r="J44" i="1"/>
  <c r="J123" i="1"/>
  <c r="J59" i="1"/>
  <c r="J122" i="1"/>
  <c r="J80" i="1"/>
  <c r="J58" i="1"/>
  <c r="J40" i="1"/>
  <c r="J98" i="1"/>
  <c r="J115" i="1"/>
  <c r="J74" i="1"/>
  <c r="J114" i="1"/>
  <c r="J72" i="1"/>
  <c r="J47" i="1"/>
  <c r="J130" i="1"/>
  <c r="J107" i="1"/>
  <c r="J88" i="1"/>
  <c r="J66" i="1"/>
  <c r="J46" i="1"/>
  <c r="J38" i="1"/>
  <c r="J129" i="1"/>
  <c r="J121" i="1"/>
  <c r="J113" i="1"/>
  <c r="J105" i="1"/>
  <c r="J97" i="1"/>
  <c r="J89" i="1"/>
  <c r="J81" i="1"/>
  <c r="J73" i="1"/>
  <c r="J65" i="1"/>
  <c r="J57" i="1"/>
  <c r="J135" i="1"/>
  <c r="J127" i="1"/>
  <c r="J119" i="1"/>
  <c r="J111" i="1"/>
  <c r="J103" i="1"/>
  <c r="J95" i="1"/>
  <c r="J87" i="1"/>
  <c r="J79" i="1"/>
  <c r="J71" i="1"/>
  <c r="J63" i="1"/>
  <c r="J55" i="1"/>
  <c r="J43" i="1"/>
  <c r="J134" i="1"/>
  <c r="J126" i="1"/>
  <c r="J118" i="1"/>
  <c r="J110" i="1"/>
  <c r="J102" i="1"/>
  <c r="J94" i="1"/>
  <c r="J86" i="1"/>
  <c r="J78" i="1"/>
  <c r="J70" i="1"/>
  <c r="J62" i="1"/>
  <c r="J54" i="1"/>
  <c r="J133" i="1"/>
  <c r="J125" i="1"/>
  <c r="J117" i="1"/>
  <c r="J109" i="1"/>
  <c r="J101" i="1"/>
  <c r="J93" i="1"/>
  <c r="J85" i="1"/>
  <c r="J77" i="1"/>
  <c r="J69" i="1"/>
  <c r="J61" i="1"/>
  <c r="J53" i="1"/>
  <c r="J49" i="1"/>
  <c r="J41" i="1"/>
  <c r="J132" i="1"/>
  <c r="J124" i="1"/>
  <c r="J116" i="1"/>
  <c r="J108" i="1"/>
  <c r="J100" i="1"/>
  <c r="J92" i="1"/>
  <c r="J84" i="1"/>
  <c r="J76" i="1"/>
  <c r="J68" i="1"/>
  <c r="J60" i="1"/>
  <c r="J52" i="1"/>
  <c r="G37" i="1"/>
  <c r="N37" i="1" s="1"/>
  <c r="G119" i="1"/>
  <c r="N119" i="1" s="1"/>
  <c r="G107" i="1"/>
  <c r="N107" i="1" s="1"/>
  <c r="G91" i="1"/>
  <c r="N91" i="1" s="1"/>
  <c r="G59" i="1"/>
  <c r="N59" i="1" s="1"/>
  <c r="G134" i="1"/>
  <c r="N134" i="1" s="1"/>
  <c r="G130" i="1"/>
  <c r="N130" i="1" s="1"/>
  <c r="G126" i="1"/>
  <c r="N126" i="1" s="1"/>
  <c r="G122" i="1"/>
  <c r="N122" i="1" s="1"/>
  <c r="G118" i="1"/>
  <c r="N118" i="1" s="1"/>
  <c r="G114" i="1"/>
  <c r="N114" i="1" s="1"/>
  <c r="G110" i="1"/>
  <c r="N110" i="1" s="1"/>
  <c r="G106" i="1"/>
  <c r="N106" i="1" s="1"/>
  <c r="G102" i="1"/>
  <c r="N102" i="1" s="1"/>
  <c r="G98" i="1"/>
  <c r="N98" i="1" s="1"/>
  <c r="G94" i="1"/>
  <c r="N94" i="1" s="1"/>
  <c r="G90" i="1"/>
  <c r="N90" i="1" s="1"/>
  <c r="G86" i="1"/>
  <c r="N86" i="1" s="1"/>
  <c r="G82" i="1"/>
  <c r="N82" i="1" s="1"/>
  <c r="G78" i="1"/>
  <c r="N78" i="1" s="1"/>
  <c r="G74" i="1"/>
  <c r="N74" i="1" s="1"/>
  <c r="G70" i="1"/>
  <c r="N70" i="1" s="1"/>
  <c r="G66" i="1"/>
  <c r="N66" i="1" s="1"/>
  <c r="G62" i="1"/>
  <c r="N62" i="1" s="1"/>
  <c r="G58" i="1"/>
  <c r="N58" i="1" s="1"/>
  <c r="G54" i="1"/>
  <c r="N54" i="1" s="1"/>
  <c r="G99" i="1"/>
  <c r="N99" i="1" s="1"/>
  <c r="G127" i="1"/>
  <c r="N127" i="1" s="1"/>
  <c r="G115" i="1"/>
  <c r="N115" i="1" s="1"/>
  <c r="G95" i="1"/>
  <c r="N95" i="1" s="1"/>
  <c r="G67" i="1"/>
  <c r="N67" i="1" s="1"/>
  <c r="G133" i="1"/>
  <c r="N133" i="1" s="1"/>
  <c r="G129" i="1"/>
  <c r="N129" i="1" s="1"/>
  <c r="G125" i="1"/>
  <c r="N125" i="1" s="1"/>
  <c r="G121" i="1"/>
  <c r="N121" i="1" s="1"/>
  <c r="G117" i="1"/>
  <c r="N117" i="1" s="1"/>
  <c r="G113" i="1"/>
  <c r="N113" i="1" s="1"/>
  <c r="G109" i="1"/>
  <c r="N109" i="1" s="1"/>
  <c r="G105" i="1"/>
  <c r="N105" i="1" s="1"/>
  <c r="G101" i="1"/>
  <c r="N101" i="1" s="1"/>
  <c r="G97" i="1"/>
  <c r="N97" i="1" s="1"/>
  <c r="G93" i="1"/>
  <c r="N93" i="1" s="1"/>
  <c r="G89" i="1"/>
  <c r="N89" i="1" s="1"/>
  <c r="G85" i="1"/>
  <c r="N85" i="1" s="1"/>
  <c r="G81" i="1"/>
  <c r="N81" i="1" s="1"/>
  <c r="G77" i="1"/>
  <c r="N77" i="1" s="1"/>
  <c r="G73" i="1"/>
  <c r="N73" i="1" s="1"/>
  <c r="G69" i="1"/>
  <c r="N69" i="1" s="1"/>
  <c r="G65" i="1"/>
  <c r="N65" i="1" s="1"/>
  <c r="G61" i="1"/>
  <c r="N61" i="1" s="1"/>
  <c r="G57" i="1"/>
  <c r="N57" i="1" s="1"/>
  <c r="G53" i="1"/>
  <c r="N53" i="1" s="1"/>
  <c r="G135" i="1"/>
  <c r="N135" i="1" s="1"/>
  <c r="G75" i="1"/>
  <c r="N75" i="1" s="1"/>
  <c r="G123" i="1"/>
  <c r="N123" i="1" s="1"/>
  <c r="G103" i="1"/>
  <c r="N103" i="1" s="1"/>
  <c r="G83" i="1"/>
  <c r="N83" i="1" s="1"/>
  <c r="G63" i="1"/>
  <c r="N63" i="1" s="1"/>
  <c r="G136" i="1"/>
  <c r="N136" i="1" s="1"/>
  <c r="G132" i="1"/>
  <c r="N132" i="1" s="1"/>
  <c r="G128" i="1"/>
  <c r="N128" i="1" s="1"/>
  <c r="G124" i="1"/>
  <c r="N124" i="1" s="1"/>
  <c r="G120" i="1"/>
  <c r="N120" i="1" s="1"/>
  <c r="G116" i="1"/>
  <c r="N116" i="1" s="1"/>
  <c r="G112" i="1"/>
  <c r="N112" i="1" s="1"/>
  <c r="G108" i="1"/>
  <c r="N108" i="1" s="1"/>
  <c r="G104" i="1"/>
  <c r="N104" i="1" s="1"/>
  <c r="G100" i="1"/>
  <c r="N100" i="1" s="1"/>
  <c r="G96" i="1"/>
  <c r="N96" i="1" s="1"/>
  <c r="G92" i="1"/>
  <c r="N92" i="1" s="1"/>
  <c r="G88" i="1"/>
  <c r="N88" i="1" s="1"/>
  <c r="G84" i="1"/>
  <c r="N84" i="1" s="1"/>
  <c r="G80" i="1"/>
  <c r="N80" i="1" s="1"/>
  <c r="G76" i="1"/>
  <c r="N76" i="1" s="1"/>
  <c r="G72" i="1"/>
  <c r="N72" i="1" s="1"/>
  <c r="G68" i="1"/>
  <c r="N68" i="1" s="1"/>
  <c r="G64" i="1"/>
  <c r="N64" i="1" s="1"/>
  <c r="G60" i="1"/>
  <c r="N60" i="1" s="1"/>
  <c r="G56" i="1"/>
  <c r="N56" i="1" s="1"/>
  <c r="G52" i="1"/>
  <c r="N52" i="1" s="1"/>
  <c r="G79" i="1"/>
  <c r="N79" i="1" s="1"/>
  <c r="G131" i="1"/>
  <c r="N131" i="1" s="1"/>
  <c r="G111" i="1"/>
  <c r="N111" i="1" s="1"/>
  <c r="G87" i="1"/>
  <c r="N87" i="1" s="1"/>
  <c r="G71" i="1"/>
  <c r="N71" i="1" s="1"/>
  <c r="G55" i="1"/>
  <c r="N55" i="1" s="1"/>
  <c r="G51" i="1"/>
  <c r="N51" i="1" s="1"/>
  <c r="G46" i="1"/>
  <c r="N46" i="1" s="1"/>
  <c r="G42" i="1"/>
  <c r="N42" i="1" s="1"/>
  <c r="G49" i="1"/>
  <c r="N49" i="1" s="1"/>
  <c r="G45" i="1"/>
  <c r="N45" i="1" s="1"/>
  <c r="G41" i="1"/>
  <c r="N41" i="1" s="1"/>
  <c r="G50" i="1"/>
  <c r="N50" i="1" s="1"/>
  <c r="G38" i="1"/>
  <c r="N38" i="1" s="1"/>
  <c r="G48" i="1"/>
  <c r="N48" i="1" s="1"/>
  <c r="G44" i="1"/>
  <c r="N44" i="1" s="1"/>
  <c r="G40" i="1"/>
  <c r="N40" i="1" s="1"/>
  <c r="G47" i="1"/>
  <c r="N47" i="1" s="1"/>
  <c r="G43" i="1"/>
  <c r="N43" i="1" s="1"/>
  <c r="G39" i="1"/>
  <c r="N39" i="1" s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<sst xmlns="http://schemas.openxmlformats.org/spreadsheetml/2006/main" count="336" uniqueCount="161">
  <si>
    <t>id</t>
  </si>
  <si>
    <t>latex</t>
  </si>
  <si>
    <t>txt</t>
  </si>
  <si>
    <t>img</t>
  </si>
  <si>
    <t>sol</t>
  </si>
  <si>
    <t>s12p12</t>
  </si>
  <si>
    <t>s21p11</t>
  </si>
  <si>
    <t>w12p12</t>
  </si>
  <si>
    <t>source</t>
  </si>
  <si>
    <t>i1</t>
  </si>
  <si>
    <t>i2</t>
  </si>
  <si>
    <t>i7</t>
  </si>
  <si>
    <t>i8</t>
  </si>
  <si>
    <t>i11</t>
  </si>
  <si>
    <t>i21</t>
  </si>
  <si>
    <t>w13p13</t>
  </si>
  <si>
    <t>s14p11</t>
  </si>
  <si>
    <t>s16p12</t>
  </si>
  <si>
    <t>w16q11</t>
  </si>
  <si>
    <t>i22</t>
  </si>
  <si>
    <t>s16q13</t>
  </si>
  <si>
    <t>s17p11</t>
  </si>
  <si>
    <t>f2</t>
  </si>
  <si>
    <t>f5</t>
  </si>
  <si>
    <t>f8</t>
  </si>
  <si>
    <t>f11</t>
  </si>
  <si>
    <t>f13</t>
  </si>
  <si>
    <t>f28</t>
  </si>
  <si>
    <t>f33</t>
  </si>
  <si>
    <t>f35</t>
  </si>
  <si>
    <t>f42</t>
  </si>
  <si>
    <t>f43</t>
  </si>
  <si>
    <t>f44</t>
  </si>
  <si>
    <t>f46</t>
  </si>
  <si>
    <t>f52</t>
  </si>
  <si>
    <t>f64</t>
  </si>
  <si>
    <t>c1</t>
  </si>
  <si>
    <t>c2</t>
  </si>
  <si>
    <t>c3</t>
  </si>
  <si>
    <t>c7</t>
  </si>
  <si>
    <t>c11</t>
  </si>
  <si>
    <t>c21</t>
  </si>
  <si>
    <t>c22</t>
  </si>
  <si>
    <t>c23</t>
  </si>
  <si>
    <t>c27</t>
  </si>
  <si>
    <t>c34</t>
  </si>
  <si>
    <t>c43</t>
  </si>
  <si>
    <t>d1</t>
  </si>
  <si>
    <t>d2</t>
  </si>
  <si>
    <t>d3</t>
  </si>
  <si>
    <t>d6</t>
  </si>
  <si>
    <t>d11</t>
  </si>
  <si>
    <t>d22</t>
  </si>
  <si>
    <t>d26</t>
  </si>
  <si>
    <t>d31</t>
  </si>
  <si>
    <t>d34</t>
  </si>
  <si>
    <t>d35</t>
  </si>
  <si>
    <t>d39</t>
  </si>
  <si>
    <t>d44</t>
  </si>
  <si>
    <t>d46</t>
  </si>
  <si>
    <t>d48</t>
  </si>
  <si>
    <t>d49</t>
  </si>
  <si>
    <t>seqhw</t>
  </si>
  <si>
    <t>d50</t>
  </si>
  <si>
    <t>d52</t>
  </si>
  <si>
    <t>d53</t>
  </si>
  <si>
    <t>d59</t>
  </si>
  <si>
    <t>d61</t>
  </si>
  <si>
    <t>d64</t>
  </si>
  <si>
    <t>d71</t>
  </si>
  <si>
    <t>d73</t>
  </si>
  <si>
    <t>d76</t>
  </si>
  <si>
    <t>d82</t>
  </si>
  <si>
    <t>s1</t>
  </si>
  <si>
    <t>s6</t>
  </si>
  <si>
    <t>s9</t>
  </si>
  <si>
    <t>s11</t>
  </si>
  <si>
    <t>s12</t>
  </si>
  <si>
    <t>s20</t>
  </si>
  <si>
    <t>s21</t>
  </si>
  <si>
    <t>s24</t>
  </si>
  <si>
    <t>s25</t>
  </si>
  <si>
    <t>s27</t>
  </si>
  <si>
    <t>s29</t>
  </si>
  <si>
    <t>s33</t>
  </si>
  <si>
    <t>s36</t>
  </si>
  <si>
    <t>s38</t>
  </si>
  <si>
    <t>s42</t>
  </si>
  <si>
    <t>s51</t>
  </si>
  <si>
    <t>s52</t>
  </si>
  <si>
    <t>s54</t>
  </si>
  <si>
    <t>b3</t>
  </si>
  <si>
    <t>b6</t>
  </si>
  <si>
    <t>b11</t>
  </si>
  <si>
    <t>b17</t>
  </si>
  <si>
    <t>b19</t>
  </si>
  <si>
    <t>b26</t>
  </si>
  <si>
    <t>b29</t>
  </si>
  <si>
    <t>b30</t>
  </si>
  <si>
    <t>b34</t>
  </si>
  <si>
    <t>b51</t>
  </si>
  <si>
    <t>t3</t>
  </si>
  <si>
    <t>t4</t>
  </si>
  <si>
    <t>t7</t>
  </si>
  <si>
    <t>t8</t>
  </si>
  <si>
    <t>t9</t>
  </si>
  <si>
    <t>t10</t>
  </si>
  <si>
    <t>t11</t>
  </si>
  <si>
    <t>t14</t>
  </si>
  <si>
    <t>t18</t>
  </si>
  <si>
    <t>t19</t>
  </si>
  <si>
    <t>difficulty</t>
  </si>
  <si>
    <t>created by</t>
  </si>
  <si>
    <t>solEXCEL</t>
  </si>
  <si>
    <t>origname</t>
  </si>
  <si>
    <t>Steven</t>
  </si>
  <si>
    <t>Vamsi</t>
  </si>
  <si>
    <t>343</t>
  </si>
  <si>
    <t>excelGood?</t>
  </si>
  <si>
    <t>BUCKET</t>
  </si>
  <si>
    <t>-768 medium June21_11_q5.png</t>
  </si>
  <si>
    <t>0.042 medium June 22_11_q10.png</t>
  </si>
  <si>
    <t>0.723 easy Nov 20_13_q9a.png</t>
  </si>
  <si>
    <t>0.724 easy June 22_12_q7a.png</t>
  </si>
  <si>
    <t>0.75 easy June_21_12_q1b.png</t>
  </si>
  <si>
    <t>1.5 medium Nov 20_11_q5.png</t>
  </si>
  <si>
    <t>1.57 easy June 21_11_Q4.png</t>
  </si>
  <si>
    <t>10.8 moderate Nov 20_12_q2.png</t>
  </si>
  <si>
    <t>13.0 medium March 22_12_q10.png</t>
  </si>
  <si>
    <t>18 easy no correct source.png</t>
  </si>
  <si>
    <t>19.5 medium June 20_12_q2.png</t>
  </si>
  <si>
    <t>2 easy June 20_13_q9b.png</t>
  </si>
  <si>
    <t>2 easy June_21_12_q10.png</t>
  </si>
  <si>
    <t>2 easy Nov 21_11_q8b.png</t>
  </si>
  <si>
    <t>2 medium Nov 23_13_q11.png</t>
  </si>
  <si>
    <t>2.11 medium Nov 21_12_q6.png</t>
  </si>
  <si>
    <t>2.5 medium Nov 20_12_q1.png</t>
  </si>
  <si>
    <t>28 medium Nov 21_11_q4a.png</t>
  </si>
  <si>
    <t>3 easy June_20_12_q6(a).png</t>
  </si>
  <si>
    <t>3 moderate June_20_11_q2.png</t>
  </si>
  <si>
    <t>30 easy Nov 21_13_q4.png</t>
  </si>
  <si>
    <t>4 easy June 23_11_q11.png</t>
  </si>
  <si>
    <t>4 easy June_21_11_q10.png</t>
  </si>
  <si>
    <t>4 easy Nov 22_12_q9b.png</t>
  </si>
  <si>
    <t>4 medium Nov 21_12_q11a.png</t>
  </si>
  <si>
    <t>43.7 moderate June 20_13_q5.png</t>
  </si>
  <si>
    <t>48.2 medium Nov_21_12_q12.png</t>
  </si>
  <si>
    <t>5 easy June 22_12_q10c.png</t>
  </si>
  <si>
    <t>5 easy March_21_12_q4.png</t>
  </si>
  <si>
    <t>5 easy Nov 21_12_q3.png</t>
  </si>
  <si>
    <t>5 medium june_21_11_q6.png</t>
  </si>
  <si>
    <t>5.10 easy Nov_20_12_q11.png</t>
  </si>
  <si>
    <t>5.10 medium Nov 21_11_q7b.png</t>
  </si>
  <si>
    <t>7 medium June 20_11_q6a.png</t>
  </si>
  <si>
    <t>94.5 moderate June 21_11_q2.png</t>
  </si>
  <si>
    <t>python name</t>
  </si>
  <si>
    <t>python sol</t>
  </si>
  <si>
    <t>python id</t>
  </si>
  <si>
    <t>ALL MATCHING</t>
  </si>
  <si>
    <t>13</t>
  </si>
  <si>
    <t>5.1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</si>
</sst>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Font="1"/>
    <xf numFmtId="49" fontId="1" fillId="0" borderId="0" xfId="0" applyNumberFormat="1" applyFont="1" applyAlignment="1">
      <alignment horizontal="right"/>
    </xf>
    <xf numFmtId="49" fontId="0" fillId="0" borderId="0" xfId="0" applyNumberFormat="1" applyAlignment="1">
      <alignment horizontal="right"/>
    </xf>
    <xf numFmtId="49" fontId="0" fillId="2" borderId="0" xfId="0" applyNumberFormat="1" applyFill="1"/>
    <xf numFmtId="49" fontId="1" fillId="2" borderId="0" xfId="0" applyNumberFormat="1" applyFont="1" applyFill="1" applyAlignment="1">
      <alignment horizontal="right"/>
    </xf>
    <xf numFmtId="49" fontId="0" fillId="2" borderId="0" xfId="0" applyNumberForma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6"/>
  <sheetViews>
    <sheetView tabSelected="1" topLeftCell="C1" workbookViewId="0">
      <selection activeCell="J8" sqref="J8"/>
    </sheetView>
  </sheetViews>
  <sheetFormatPr defaultRowHeight="14.5" x14ac:dyDescent="0.35"/>
  <cols>
    <col min="2" max="2" width="0" hidden="1" customWidth="1"/>
    <col min="3" max="3" width="32.36328125" style="2" customWidth="1"/>
    <col min="5" max="5" width="12.6328125" customWidth="1"/>
    <col min="6" max="6" width="8.90625" style="4"/>
    <col min="7" max="7" width="8.7265625" style="5"/>
    <col min="8" max="8" width="11.90625" customWidth="1"/>
    <col min="9" max="9" width="11.453125" customWidth="1"/>
    <col min="10" max="10" width="6.90625" style="3" customWidth="1"/>
    <col min="11" max="11" width="3.26953125" hidden="1" customWidth="1"/>
    <col min="12" max="12" width="5.08984375" hidden="1" customWidth="1"/>
    <col min="13" max="13" width="32.6328125" style="3" customWidth="1"/>
    <col min="14" max="14" width="4.90625" style="1" customWidth="1"/>
    <col min="17" max="17" width="8.7265625" style="1"/>
  </cols>
  <sheetData>
    <row r="1" spans="1:17" x14ac:dyDescent="0.35">
      <c r="A1" t="s">
        <v>0</v>
      </c>
      <c r="B1" t="s">
        <v>8</v>
      </c>
      <c r="C1" s="2" t="s">
        <v>114</v>
      </c>
      <c r="D1" t="s">
        <v>8</v>
      </c>
      <c r="E1" t="s">
        <v>3</v>
      </c>
      <c r="F1" s="4" t="s">
        <v>4</v>
      </c>
      <c r="G1" s="5" t="s">
        <v>113</v>
      </c>
      <c r="H1" t="s">
        <v>111</v>
      </c>
      <c r="I1" t="s">
        <v>112</v>
      </c>
      <c r="J1" s="3" t="s">
        <v>119</v>
      </c>
      <c r="K1" t="s">
        <v>2</v>
      </c>
      <c r="L1" t="s">
        <v>1</v>
      </c>
      <c r="M1" s="3" t="s">
        <v>155</v>
      </c>
      <c r="N1" s="1" t="s">
        <v>118</v>
      </c>
      <c r="O1" s="3" t="s">
        <v>156</v>
      </c>
      <c r="P1" s="3" t="s">
        <v>157</v>
      </c>
      <c r="Q1" s="1" t="s">
        <v>158</v>
      </c>
    </row>
    <row r="2" spans="1:17" x14ac:dyDescent="0.35">
      <c r="A2" t="e">
        <f>A1+1</f>
        <v>#VALUE!</v>
      </c>
      <c r="C2" s="2" t="s">
        <v>127</v>
      </c>
      <c r="E2">
        <v>107</v>
      </c>
      <c r="F2" s="4">
        <v>10.8</v>
      </c>
      <c r="G2" s="5" t="str" cm="1">
        <f t="array" aca="1" ref="G2" ca="1">IFERROR(LEFT(C2,_xlfn.AGGREGATE(15,6,ROW(INDIRECT("1:"&amp;LEN(C2)+1))/(ISERROR(MID(C2&amp;" ",ROW(INDIRECT("1:"&amp;LEN(C2)+1)),1)*1)*(MID(C2&amp;" ",ROW(INDIRECT("1:"&amp;LEN(C2)+1)),1)&lt;&gt;".")*(MID(C2&amp;" ",ROW(INDIRECT("1:"&amp;LEN(C2)+1)),1)&lt;&gt;"-")),1)-1),C2)</f>
        <v>10.8</v>
      </c>
      <c r="H2" t="str">
        <f>IF(ISNUMBER(SEARCH("easy",C2)),"easy",IF(ISNUMBER(SEARCH("medium",C2)),"medium",IF(ISNUMBER(SEARCH("moderate",C2)),"moderate",IF(ISNUMBER(SEARCH("hard",C2)),"hard",""))))</f>
        <v>moderate</v>
      </c>
      <c r="I2" t="s">
        <v>116</v>
      </c>
      <c r="J2" s="3">
        <v>5</v>
      </c>
      <c r="M2" s="3" t="s">
        <v>127</v>
      </c>
      <c r="N2" s="1" t="str">
        <f ca="1">IF(IFERROR(VALUE(G2),G2)&lt;&gt;IFERROR(VALUE(F2),F2),"ERROR","")</f>
        <v/>
      </c>
      <c r="O2">
        <v>10.8</v>
      </c>
      <c r="P2">
        <v>107</v>
      </c>
      <c r="Q2" s="1" t="str">
        <f>IF(AND(M2=C2,E2=P2,O2=F2),"","BADNESS")</f>
        <v/>
      </c>
    </row>
    <row r="3" spans="1:17" x14ac:dyDescent="0.35">
      <c r="A3" t="e">
        <f>A2+1</f>
        <v>#VALUE!</v>
      </c>
      <c r="C3" s="2" t="s">
        <v>139</v>
      </c>
      <c r="E3">
        <v>119</v>
      </c>
      <c r="F3" s="4">
        <v>3</v>
      </c>
      <c r="G3" s="5" t="str" cm="1">
        <f t="array" aca="1" ref="G3" ca="1">IFERROR(LEFT(C3,_xlfn.AGGREGATE(15,6,ROW(INDIRECT("1:"&amp;LEN(C3)+1))/(ISERROR(MID(C3&amp;" ",ROW(INDIRECT("1:"&amp;LEN(C3)+1)),1)*1)*(MID(C3&amp;" ",ROW(INDIRECT("1:"&amp;LEN(C3)+1)),1)&lt;&gt;".")*(MID(C3&amp;" ",ROW(INDIRECT("1:"&amp;LEN(C3)+1)),1)&lt;&gt;"-")),1)-1),C3)</f>
        <v>3</v>
      </c>
      <c r="H3" t="str">
        <f>IF(ISNUMBER(SEARCH("easy",C3)),"easy",IF(ISNUMBER(SEARCH("medium",C3)),"medium",IF(ISNUMBER(SEARCH("moderate",C3)),"moderate",IF(ISNUMBER(SEARCH("hard",C3)),"hard",""))))</f>
        <v>moderate</v>
      </c>
      <c r="I3" t="s">
        <v>116</v>
      </c>
      <c r="J3" s="3">
        <v>5</v>
      </c>
      <c r="M3" s="3" t="s">
        <v>139</v>
      </c>
      <c r="N3" s="1" t="str">
        <f ca="1">IF(IFERROR(VALUE(G3),G3)&lt;&gt;IFERROR(VALUE(F3),F3),"ERROR","")</f>
        <v/>
      </c>
      <c r="O3">
        <v>3</v>
      </c>
      <c r="P3">
        <v>119</v>
      </c>
      <c r="Q3" s="1" t="str">
        <f>IF(AND(M3=C3,E3=P3,O3=F3),"","BADNESS")</f>
        <v/>
      </c>
    </row>
    <row r="4" spans="1:17" x14ac:dyDescent="0.35">
      <c r="A4" t="e">
        <f>A3+1</f>
        <v>#VALUE!</v>
      </c>
      <c r="C4" s="2" t="s">
        <v>145</v>
      </c>
      <c r="E4">
        <v>125</v>
      </c>
      <c r="F4" s="4">
        <v>43.7</v>
      </c>
      <c r="G4" s="5" t="str" cm="1">
        <f t="array" aca="1" ref="G4" ca="1">IFERROR(LEFT(C4,_xlfn.AGGREGATE(15,6,ROW(INDIRECT("1:"&amp;LEN(C4)+1))/(ISERROR(MID(C4&amp;" ",ROW(INDIRECT("1:"&amp;LEN(C4)+1)),1)*1)*(MID(C4&amp;" ",ROW(INDIRECT("1:"&amp;LEN(C4)+1)),1)&lt;&gt;".")*(MID(C4&amp;" ",ROW(INDIRECT("1:"&amp;LEN(C4)+1)),1)&lt;&gt;"-")),1)-1),C4)</f>
        <v>43.7</v>
      </c>
      <c r="H4" t="str">
        <f>IF(ISNUMBER(SEARCH("easy",C4)),"easy",IF(ISNUMBER(SEARCH("medium",C4)),"medium",IF(ISNUMBER(SEARCH("moderate",C4)),"moderate",IF(ISNUMBER(SEARCH("hard",C4)),"hard",""))))</f>
        <v>moderate</v>
      </c>
      <c r="I4" t="s">
        <v>116</v>
      </c>
      <c r="J4" s="3">
        <v>5</v>
      </c>
      <c r="M4" s="3" t="s">
        <v>145</v>
      </c>
      <c r="N4" s="1" t="str">
        <f ca="1">IF(IFERROR(VALUE(G4),G4)&lt;&gt;IFERROR(VALUE(F4),F4),"ERROR","")</f>
        <v/>
      </c>
      <c r="O4">
        <v>43.7</v>
      </c>
      <c r="P4">
        <v>125</v>
      </c>
      <c r="Q4" s="1" t="str">
        <f>IF(AND(M4=C4,E4=P4,O4=F4),"","BADNESS")</f>
        <v/>
      </c>
    </row>
    <row r="5" spans="1:17" x14ac:dyDescent="0.35">
      <c r="A5" t="e">
        <f>A4+1</f>
        <v>#VALUE!</v>
      </c>
      <c r="C5" s="2" t="s">
        <v>154</v>
      </c>
      <c r="E5">
        <v>134</v>
      </c>
      <c r="F5" s="4">
        <v>94.5</v>
      </c>
      <c r="G5" s="5" t="str" cm="1">
        <f t="array" aca="1" ref="G5" ca="1">IFERROR(LEFT(C5,_xlfn.AGGREGATE(15,6,ROW(INDIRECT("1:"&amp;LEN(C5)+1))/(ISERROR(MID(C5&amp;" ",ROW(INDIRECT("1:"&amp;LEN(C5)+1)),1)*1)*(MID(C5&amp;" ",ROW(INDIRECT("1:"&amp;LEN(C5)+1)),1)&lt;&gt;".")*(MID(C5&amp;" ",ROW(INDIRECT("1:"&amp;LEN(C5)+1)),1)&lt;&gt;"-")),1)-1),C5)</f>
        <v>94.5</v>
      </c>
      <c r="H5" t="str">
        <f>IF(ISNUMBER(SEARCH("easy",C5)),"easy",IF(ISNUMBER(SEARCH("medium",C5)),"medium",IF(ISNUMBER(SEARCH("moderate",C5)),"moderate",IF(ISNUMBER(SEARCH("hard",C5)),"hard",""))))</f>
        <v>moderate</v>
      </c>
      <c r="I5" t="s">
        <v>116</v>
      </c>
      <c r="J5" s="3">
        <v>5</v>
      </c>
      <c r="M5" s="3" t="s">
        <v>154</v>
      </c>
      <c r="N5" s="1" t="str">
        <f ca="1">IF(IFERROR(VALUE(G5),G5)&lt;&gt;IFERROR(VALUE(F5),F5),"ERROR","")</f>
        <v/>
      </c>
      <c r="O5">
        <v>94.5</v>
      </c>
      <c r="P5">
        <v>134</v>
      </c>
      <c r="Q5" s="1" t="str">
        <f>IF(AND(M5=C5,E5=P5,O5=F5),"","BADNESS")</f>
        <v/>
      </c>
    </row>
    <row r="6" spans="1:17" x14ac:dyDescent="0.35">
      <c r="A6" t="e">
        <f>A5+1</f>
        <v>#VALUE!</v>
      </c>
      <c r="C6" s="2" t="s">
        <v>120</v>
      </c>
      <c r="E6">
        <v>100</v>
      </c>
      <c r="F6" s="4">
        <v>-768</v>
      </c>
      <c r="G6" s="5" t="str" cm="1">
        <f t="array" aca="1" ref="G6" ca="1">IFERROR(LEFT(C6,_xlfn.AGGREGATE(15,6,ROW(INDIRECT("1:"&amp;LEN(C6)+1))/(ISERROR(MID(C6&amp;" ",ROW(INDIRECT("1:"&amp;LEN(C6)+1)),1)*1)*(MID(C6&amp;" ",ROW(INDIRECT("1:"&amp;LEN(C6)+1)),1)&lt;&gt;".")*(MID(C6&amp;" ",ROW(INDIRECT("1:"&amp;LEN(C6)+1)),1)&lt;&gt;"-")),1)-1),C6)</f>
        <v>-768</v>
      </c>
      <c r="H6" t="str">
        <f>IF(ISNUMBER(SEARCH("easy",C6)),"easy",IF(ISNUMBER(SEARCH("medium",C6)),"medium",IF(ISNUMBER(SEARCH("moderate",C6)),"moderate",IF(ISNUMBER(SEARCH("hard",C6)),"hard",""))))</f>
        <v>medium</v>
      </c>
      <c r="I6" t="s">
        <v>116</v>
      </c>
      <c r="J6" s="3">
        <v>3</v>
      </c>
      <c r="M6" s="3" t="s">
        <v>120</v>
      </c>
      <c r="N6" s="1" t="str">
        <f ca="1">IF(IFERROR(VALUE(G6),G6)&lt;&gt;IFERROR(VALUE(F6),F6),"ERROR","")</f>
        <v/>
      </c>
      <c r="O6">
        <v>-768</v>
      </c>
      <c r="P6">
        <v>100</v>
      </c>
      <c r="Q6" s="1" t="str">
        <f>IF(AND(M6=C6,E6=P6,O6=F6),"","BADNESS")</f>
        <v/>
      </c>
    </row>
    <row r="7" spans="1:17" x14ac:dyDescent="0.35">
      <c r="A7" t="e">
        <f>A6+1</f>
        <v>#VALUE!</v>
      </c>
      <c r="C7" s="2" t="s">
        <v>121</v>
      </c>
      <c r="E7">
        <v>101</v>
      </c>
      <c r="F7" s="4">
        <v>4.2000000000000003E-2</v>
      </c>
      <c r="G7" s="5" t="str" cm="1">
        <f t="array" aca="1" ref="G7" ca="1">IFERROR(LEFT(C7,_xlfn.AGGREGATE(15,6,ROW(INDIRECT("1:"&amp;LEN(C7)+1))/(ISERROR(MID(C7&amp;" ",ROW(INDIRECT("1:"&amp;LEN(C7)+1)),1)*1)*(MID(C7&amp;" ",ROW(INDIRECT("1:"&amp;LEN(C7)+1)),1)&lt;&gt;".")*(MID(C7&amp;" ",ROW(INDIRECT("1:"&amp;LEN(C7)+1)),1)&lt;&gt;"-")),1)-1),C7)</f>
        <v>0.042</v>
      </c>
      <c r="H7" t="str">
        <f>IF(ISNUMBER(SEARCH("easy",C7)),"easy",IF(ISNUMBER(SEARCH("medium",C7)),"medium",IF(ISNUMBER(SEARCH("moderate",C7)),"moderate",IF(ISNUMBER(SEARCH("hard",C7)),"hard",""))))</f>
        <v>medium</v>
      </c>
      <c r="I7" t="s">
        <v>116</v>
      </c>
      <c r="J7" s="3">
        <v>3</v>
      </c>
      <c r="M7" s="3" t="s">
        <v>121</v>
      </c>
      <c r="N7" s="1" t="str">
        <f ca="1">IF(IFERROR(VALUE(G7),G7)&lt;&gt;IFERROR(VALUE(F7),F7),"ERROR","")</f>
        <v/>
      </c>
      <c r="O7">
        <v>4.2000000000000003E-2</v>
      </c>
      <c r="P7">
        <v>101</v>
      </c>
      <c r="Q7" s="1" t="str">
        <f>IF(AND(M7=C7,E7=P7,O7=F7),"","BADNESS")</f>
        <v/>
      </c>
    </row>
    <row r="8" spans="1:17" x14ac:dyDescent="0.35">
      <c r="A8" t="e">
        <f>A7+1</f>
        <v>#VALUE!</v>
      </c>
      <c r="C8" s="2" t="s">
        <v>125</v>
      </c>
      <c r="E8">
        <v>105</v>
      </c>
      <c r="F8" s="4">
        <v>1.5</v>
      </c>
      <c r="G8" s="5" t="str" cm="1">
        <f t="array" aca="1" ref="G8" ca="1">IFERROR(LEFT(C8,_xlfn.AGGREGATE(15,6,ROW(INDIRECT("1:"&amp;LEN(C8)+1))/(ISERROR(MID(C8&amp;" ",ROW(INDIRECT("1:"&amp;LEN(C8)+1)),1)*1)*(MID(C8&amp;" ",ROW(INDIRECT("1:"&amp;LEN(C8)+1)),1)&lt;&gt;".")*(MID(C8&amp;" ",ROW(INDIRECT("1:"&amp;LEN(C8)+1)),1)&lt;&gt;"-")),1)-1),C8)</f>
        <v>1.5</v>
      </c>
      <c r="H8" t="str">
        <f>IF(ISNUMBER(SEARCH("easy",C8)),"easy",IF(ISNUMBER(SEARCH("medium",C8)),"medium",IF(ISNUMBER(SEARCH("moderate",C8)),"moderate",IF(ISNUMBER(SEARCH("hard",C8)),"hard",""))))</f>
        <v>medium</v>
      </c>
      <c r="I8" t="s">
        <v>116</v>
      </c>
      <c r="J8" s="3">
        <v>3</v>
      </c>
      <c r="M8" s="3" t="s">
        <v>125</v>
      </c>
      <c r="N8" s="1" t="str">
        <f ca="1">IF(IFERROR(VALUE(G8),G8)&lt;&gt;IFERROR(VALUE(F8),F8),"ERROR","")</f>
        <v/>
      </c>
      <c r="O8">
        <v>1.5</v>
      </c>
      <c r="P8">
        <v>105</v>
      </c>
      <c r="Q8" s="1" t="str">
        <f>IF(AND(M8=C8,E8=P8,O8=F8),"","BADNESS")</f>
        <v/>
      </c>
    </row>
    <row r="9" spans="1:17" x14ac:dyDescent="0.35">
      <c r="A9" t="e">
        <f>A8+1</f>
        <v>#VALUE!</v>
      </c>
      <c r="C9" s="6" t="s">
        <v>128</v>
      </c>
      <c r="E9">
        <v>108</v>
      </c>
      <c r="F9" s="7" t="s">
        <v>159</v>
      </c>
      <c r="G9" s="8" t="str" cm="1">
        <f t="array" aca="1" ref="G9" ca="1">IFERROR(LEFT(C9,_xlfn.AGGREGATE(15,6,ROW(INDIRECT("1:"&amp;LEN(C9)+1))/(ISERROR(MID(C9&amp;" ",ROW(INDIRECT("1:"&amp;LEN(C9)+1)),1)*1)*(MID(C9&amp;" ",ROW(INDIRECT("1:"&amp;LEN(C9)+1)),1)&lt;&gt;".")*(MID(C9&amp;" ",ROW(INDIRECT("1:"&amp;LEN(C9)+1)),1)&lt;&gt;"-")),1)-1),C9)</f>
        <v>13.0</v>
      </c>
      <c r="H9" t="str">
        <f>IF(ISNUMBER(SEARCH("easy",C9)),"easy",IF(ISNUMBER(SEARCH("medium",C9)),"medium",IF(ISNUMBER(SEARCH("moderate",C9)),"moderate",IF(ISNUMBER(SEARCH("hard",C9)),"hard",""))))</f>
        <v>medium</v>
      </c>
      <c r="I9" t="s">
        <v>116</v>
      </c>
      <c r="J9" s="3">
        <v>3</v>
      </c>
      <c r="M9" s="3" t="s">
        <v>128</v>
      </c>
      <c r="N9" s="1" t="str">
        <f ca="1">IF(IFERROR(VALUE(G9),G9)&lt;&gt;IFERROR(VALUE(F9),F9),"ERROR","")</f>
        <v/>
      </c>
      <c r="O9">
        <v>13</v>
      </c>
      <c r="P9">
        <v>108</v>
      </c>
      <c r="Q9" s="1" t="str">
        <f>IF(AND(M9=C9,E9=P9,O9=F9),"","BADNESS")</f>
        <v>BADNESS</v>
      </c>
    </row>
    <row r="10" spans="1:17" x14ac:dyDescent="0.35">
      <c r="A10" t="e">
        <f>A9+1</f>
        <v>#VALUE!</v>
      </c>
      <c r="C10" s="2" t="s">
        <v>130</v>
      </c>
      <c r="E10">
        <v>110</v>
      </c>
      <c r="F10" s="4">
        <v>19.5</v>
      </c>
      <c r="G10" s="5" t="str" cm="1">
        <f t="array" aca="1" ref="G10" ca="1">IFERROR(LEFT(C10,_xlfn.AGGREGATE(15,6,ROW(INDIRECT("1:"&amp;LEN(C10)+1))/(ISERROR(MID(C10&amp;" ",ROW(INDIRECT("1:"&amp;LEN(C10)+1)),1)*1)*(MID(C10&amp;" ",ROW(INDIRECT("1:"&amp;LEN(C10)+1)),1)&lt;&gt;".")*(MID(C10&amp;" ",ROW(INDIRECT("1:"&amp;LEN(C10)+1)),1)&lt;&gt;"-")),1)-1),C10)</f>
        <v>19.5</v>
      </c>
      <c r="H10" t="str">
        <f>IF(ISNUMBER(SEARCH("easy",C10)),"easy",IF(ISNUMBER(SEARCH("medium",C10)),"medium",IF(ISNUMBER(SEARCH("moderate",C10)),"moderate",IF(ISNUMBER(SEARCH("hard",C10)),"hard",""))))</f>
        <v>medium</v>
      </c>
      <c r="I10" t="s">
        <v>116</v>
      </c>
      <c r="J10" s="3">
        <v>3</v>
      </c>
      <c r="M10" s="3" t="s">
        <v>130</v>
      </c>
      <c r="N10" s="1" t="str">
        <f ca="1">IF(IFERROR(VALUE(G10),G10)&lt;&gt;IFERROR(VALUE(F10),F10),"ERROR","")</f>
        <v/>
      </c>
      <c r="O10">
        <v>19.5</v>
      </c>
      <c r="P10">
        <v>110</v>
      </c>
      <c r="Q10" s="1" t="str">
        <f>IF(AND(M10=C10,E10=P10,O10=F10),"","BADNESS")</f>
        <v/>
      </c>
    </row>
    <row r="11" spans="1:17" x14ac:dyDescent="0.35">
      <c r="A11" t="e">
        <f>A10+1</f>
        <v>#VALUE!</v>
      </c>
      <c r="C11" s="2" t="s">
        <v>134</v>
      </c>
      <c r="E11">
        <v>114</v>
      </c>
      <c r="F11" s="4">
        <v>2</v>
      </c>
      <c r="G11" s="5" t="str" cm="1">
        <f t="array" aca="1" ref="G11" ca="1">IFERROR(LEFT(C11,_xlfn.AGGREGATE(15,6,ROW(INDIRECT("1:"&amp;LEN(C11)+1))/(ISERROR(MID(C11&amp;" ",ROW(INDIRECT("1:"&amp;LEN(C11)+1)),1)*1)*(MID(C11&amp;" ",ROW(INDIRECT("1:"&amp;LEN(C11)+1)),1)&lt;&gt;".")*(MID(C11&amp;" ",ROW(INDIRECT("1:"&amp;LEN(C11)+1)),1)&lt;&gt;"-")),1)-1),C11)</f>
        <v>2</v>
      </c>
      <c r="H11" t="str">
        <f>IF(ISNUMBER(SEARCH("easy",C11)),"easy",IF(ISNUMBER(SEARCH("medium",C11)),"medium",IF(ISNUMBER(SEARCH("moderate",C11)),"moderate",IF(ISNUMBER(SEARCH("hard",C11)),"hard",""))))</f>
        <v>medium</v>
      </c>
      <c r="I11" t="s">
        <v>116</v>
      </c>
      <c r="J11" s="3">
        <v>3</v>
      </c>
      <c r="M11" s="3" t="s">
        <v>134</v>
      </c>
      <c r="N11" s="1" t="str">
        <f ca="1">IF(IFERROR(VALUE(G11),G11)&lt;&gt;IFERROR(VALUE(F11),F11),"ERROR","")</f>
        <v/>
      </c>
      <c r="O11">
        <v>2</v>
      </c>
      <c r="P11">
        <v>114</v>
      </c>
      <c r="Q11" s="1" t="str">
        <f>IF(AND(M11=C11,E11=P11,O11=F11),"","BADNESS")</f>
        <v/>
      </c>
    </row>
    <row r="12" spans="1:17" x14ac:dyDescent="0.35">
      <c r="A12" t="e">
        <f>A11+1</f>
        <v>#VALUE!</v>
      </c>
      <c r="C12" s="2" t="s">
        <v>135</v>
      </c>
      <c r="E12">
        <v>115</v>
      </c>
      <c r="F12" s="4">
        <v>2.11</v>
      </c>
      <c r="G12" s="5" t="str" cm="1">
        <f t="array" aca="1" ref="G12" ca="1">IFERROR(LEFT(C12,_xlfn.AGGREGATE(15,6,ROW(INDIRECT("1:"&amp;LEN(C12)+1))/(ISERROR(MID(C12&amp;" ",ROW(INDIRECT("1:"&amp;LEN(C12)+1)),1)*1)*(MID(C12&amp;" ",ROW(INDIRECT("1:"&amp;LEN(C12)+1)),1)&lt;&gt;".")*(MID(C12&amp;" ",ROW(INDIRECT("1:"&amp;LEN(C12)+1)),1)&lt;&gt;"-")),1)-1),C12)</f>
        <v>2.11</v>
      </c>
      <c r="H12" t="str">
        <f>IF(ISNUMBER(SEARCH("easy",C12)),"easy",IF(ISNUMBER(SEARCH("medium",C12)),"medium",IF(ISNUMBER(SEARCH("moderate",C12)),"moderate",IF(ISNUMBER(SEARCH("hard",C12)),"hard",""))))</f>
        <v>medium</v>
      </c>
      <c r="I12" t="s">
        <v>116</v>
      </c>
      <c r="J12" s="3">
        <v>3</v>
      </c>
      <c r="M12" s="3" t="s">
        <v>135</v>
      </c>
      <c r="N12" s="1" t="str">
        <f ca="1">IF(IFERROR(VALUE(G12),G12)&lt;&gt;IFERROR(VALUE(F12),F12),"ERROR","")</f>
        <v/>
      </c>
      <c r="O12">
        <v>2.11</v>
      </c>
      <c r="P12">
        <v>115</v>
      </c>
      <c r="Q12" s="1" t="str">
        <f>IF(AND(M12=C12,E12=P12,O12=F12),"","BADNESS")</f>
        <v/>
      </c>
    </row>
    <row r="13" spans="1:17" x14ac:dyDescent="0.35">
      <c r="A13" t="e">
        <f>A12+1</f>
        <v>#VALUE!</v>
      </c>
      <c r="C13" s="2" t="s">
        <v>136</v>
      </c>
      <c r="E13">
        <v>116</v>
      </c>
      <c r="F13" s="4">
        <v>2.5</v>
      </c>
      <c r="G13" s="5" t="str" cm="1">
        <f t="array" aca="1" ref="G13" ca="1">IFERROR(LEFT(C13,_xlfn.AGGREGATE(15,6,ROW(INDIRECT("1:"&amp;LEN(C13)+1))/(ISERROR(MID(C13&amp;" ",ROW(INDIRECT("1:"&amp;LEN(C13)+1)),1)*1)*(MID(C13&amp;" ",ROW(INDIRECT("1:"&amp;LEN(C13)+1)),1)&lt;&gt;".")*(MID(C13&amp;" ",ROW(INDIRECT("1:"&amp;LEN(C13)+1)),1)&lt;&gt;"-")),1)-1),C13)</f>
        <v>2.5</v>
      </c>
      <c r="H13" t="str">
        <f>IF(ISNUMBER(SEARCH("easy",C13)),"easy",IF(ISNUMBER(SEARCH("medium",C13)),"medium",IF(ISNUMBER(SEARCH("moderate",C13)),"moderate",IF(ISNUMBER(SEARCH("hard",C13)),"hard",""))))</f>
        <v>medium</v>
      </c>
      <c r="I13" t="s">
        <v>116</v>
      </c>
      <c r="J13" s="3">
        <v>4</v>
      </c>
      <c r="M13" s="3" t="s">
        <v>136</v>
      </c>
      <c r="N13" s="1" t="str">
        <f ca="1">IF(IFERROR(VALUE(G13),G13)&lt;&gt;IFERROR(VALUE(F13),F13),"ERROR","")</f>
        <v/>
      </c>
      <c r="O13">
        <v>2.5</v>
      </c>
      <c r="P13">
        <v>116</v>
      </c>
      <c r="Q13" s="1" t="str">
        <f>IF(AND(M13=C13,E13=P13,O13=F13),"","BADNESS")</f>
        <v/>
      </c>
    </row>
    <row r="14" spans="1:17" x14ac:dyDescent="0.35">
      <c r="A14" t="e">
        <f>A13+1</f>
        <v>#VALUE!</v>
      </c>
      <c r="C14" s="2" t="s">
        <v>137</v>
      </c>
      <c r="E14">
        <v>117</v>
      </c>
      <c r="F14" s="4">
        <v>28</v>
      </c>
      <c r="G14" s="5" t="str" cm="1">
        <f t="array" aca="1" ref="G14" ca="1">IFERROR(LEFT(C14,_xlfn.AGGREGATE(15,6,ROW(INDIRECT("1:"&amp;LEN(C14)+1))/(ISERROR(MID(C14&amp;" ",ROW(INDIRECT("1:"&amp;LEN(C14)+1)),1)*1)*(MID(C14&amp;" ",ROW(INDIRECT("1:"&amp;LEN(C14)+1)),1)&lt;&gt;".")*(MID(C14&amp;" ",ROW(INDIRECT("1:"&amp;LEN(C14)+1)),1)&lt;&gt;"-")),1)-1),C14)</f>
        <v>28</v>
      </c>
      <c r="H14" t="str">
        <f>IF(ISNUMBER(SEARCH("easy",C14)),"easy",IF(ISNUMBER(SEARCH("medium",C14)),"medium",IF(ISNUMBER(SEARCH("moderate",C14)),"moderate",IF(ISNUMBER(SEARCH("hard",C14)),"hard",""))))</f>
        <v>medium</v>
      </c>
      <c r="I14" t="s">
        <v>116</v>
      </c>
      <c r="J14" s="3">
        <v>4</v>
      </c>
      <c r="M14" s="3" t="s">
        <v>137</v>
      </c>
      <c r="N14" s="1" t="str">
        <f ca="1">IF(IFERROR(VALUE(G14),G14)&lt;&gt;IFERROR(VALUE(F14),F14),"ERROR","")</f>
        <v/>
      </c>
      <c r="O14">
        <v>28</v>
      </c>
      <c r="P14">
        <v>117</v>
      </c>
      <c r="Q14" s="1" t="str">
        <f>IF(AND(M14=C14,E14=P14,O14=F14),"","BADNESS")</f>
        <v/>
      </c>
    </row>
    <row r="15" spans="1:17" x14ac:dyDescent="0.35">
      <c r="A15" t="e">
        <f>A14+1</f>
        <v>#VALUE!</v>
      </c>
      <c r="C15" s="2" t="s">
        <v>144</v>
      </c>
      <c r="E15">
        <v>124</v>
      </c>
      <c r="F15" s="4">
        <v>4</v>
      </c>
      <c r="G15" s="5" t="str" cm="1">
        <f t="array" aca="1" ref="G15" ca="1">IFERROR(LEFT(C15,_xlfn.AGGREGATE(15,6,ROW(INDIRECT("1:"&amp;LEN(C15)+1))/(ISERROR(MID(C15&amp;" ",ROW(INDIRECT("1:"&amp;LEN(C15)+1)),1)*1)*(MID(C15&amp;" ",ROW(INDIRECT("1:"&amp;LEN(C15)+1)),1)&lt;&gt;".")*(MID(C15&amp;" ",ROW(INDIRECT("1:"&amp;LEN(C15)+1)),1)&lt;&gt;"-")),1)-1),C15)</f>
        <v>4</v>
      </c>
      <c r="H15" t="str">
        <f>IF(ISNUMBER(SEARCH("easy",C15)),"easy",IF(ISNUMBER(SEARCH("medium",C15)),"medium",IF(ISNUMBER(SEARCH("moderate",C15)),"moderate",IF(ISNUMBER(SEARCH("hard",C15)),"hard",""))))</f>
        <v>medium</v>
      </c>
      <c r="I15" t="s">
        <v>116</v>
      </c>
      <c r="J15" s="3">
        <v>4</v>
      </c>
      <c r="M15" s="3" t="s">
        <v>144</v>
      </c>
      <c r="N15" s="1" t="str">
        <f ca="1">IF(IFERROR(VALUE(G15),G15)&lt;&gt;IFERROR(VALUE(F15),F15),"ERROR","")</f>
        <v/>
      </c>
      <c r="O15">
        <v>4</v>
      </c>
      <c r="P15">
        <v>124</v>
      </c>
      <c r="Q15" s="1" t="str">
        <f>IF(AND(M15=C15,E15=P15,O15=F15),"","BADNESS")</f>
        <v/>
      </c>
    </row>
    <row r="16" spans="1:17" x14ac:dyDescent="0.35">
      <c r="A16" t="e">
        <f>A15+1</f>
        <v>#VALUE!</v>
      </c>
      <c r="C16" s="2" t="s">
        <v>146</v>
      </c>
      <c r="E16">
        <v>126</v>
      </c>
      <c r="F16" s="4">
        <v>48.2</v>
      </c>
      <c r="G16" s="5" t="str" cm="1">
        <f t="array" aca="1" ref="G16" ca="1">IFERROR(LEFT(C16,_xlfn.AGGREGATE(15,6,ROW(INDIRECT("1:"&amp;LEN(C16)+1))/(ISERROR(MID(C16&amp;" ",ROW(INDIRECT("1:"&amp;LEN(C16)+1)),1)*1)*(MID(C16&amp;" ",ROW(INDIRECT("1:"&amp;LEN(C16)+1)),1)&lt;&gt;".")*(MID(C16&amp;" ",ROW(INDIRECT("1:"&amp;LEN(C16)+1)),1)&lt;&gt;"-")),1)-1),C16)</f>
        <v>48.2</v>
      </c>
      <c r="H16" t="str">
        <f>IF(ISNUMBER(SEARCH("easy",C16)),"easy",IF(ISNUMBER(SEARCH("medium",C16)),"medium",IF(ISNUMBER(SEARCH("moderate",C16)),"moderate",IF(ISNUMBER(SEARCH("hard",C16)),"hard",""))))</f>
        <v>medium</v>
      </c>
      <c r="I16" t="s">
        <v>116</v>
      </c>
      <c r="J16" s="3">
        <v>4</v>
      </c>
      <c r="M16" s="3" t="s">
        <v>146</v>
      </c>
      <c r="N16" s="1" t="str">
        <f ca="1">IF(IFERROR(VALUE(G16),G16)&lt;&gt;IFERROR(VALUE(F16),F16),"ERROR","")</f>
        <v/>
      </c>
      <c r="O16">
        <v>48.2</v>
      </c>
      <c r="P16">
        <v>126</v>
      </c>
      <c r="Q16" s="1" t="str">
        <f>IF(AND(M16=C16,E16=P16,O16=F16),"","BADNESS")</f>
        <v/>
      </c>
    </row>
    <row r="17" spans="1:17" x14ac:dyDescent="0.35">
      <c r="A17" t="e">
        <f>A16+1</f>
        <v>#VALUE!</v>
      </c>
      <c r="C17" s="2" t="s">
        <v>150</v>
      </c>
      <c r="E17">
        <v>130</v>
      </c>
      <c r="F17" s="4">
        <v>5</v>
      </c>
      <c r="G17" s="5" t="str" cm="1">
        <f t="array" aca="1" ref="G17" ca="1">IFERROR(LEFT(C17,_xlfn.AGGREGATE(15,6,ROW(INDIRECT("1:"&amp;LEN(C17)+1))/(ISERROR(MID(C17&amp;" ",ROW(INDIRECT("1:"&amp;LEN(C17)+1)),1)*1)*(MID(C17&amp;" ",ROW(INDIRECT("1:"&amp;LEN(C17)+1)),1)&lt;&gt;".")*(MID(C17&amp;" ",ROW(INDIRECT("1:"&amp;LEN(C17)+1)),1)&lt;&gt;"-")),1)-1),C17)</f>
        <v>5</v>
      </c>
      <c r="H17" t="str">
        <f>IF(ISNUMBER(SEARCH("easy",C17)),"easy",IF(ISNUMBER(SEARCH("medium",C17)),"medium",IF(ISNUMBER(SEARCH("moderate",C17)),"moderate",IF(ISNUMBER(SEARCH("hard",C17)),"hard",""))))</f>
        <v>medium</v>
      </c>
      <c r="I17" t="s">
        <v>116</v>
      </c>
      <c r="J17" s="3">
        <v>4</v>
      </c>
      <c r="M17" s="3" t="s">
        <v>150</v>
      </c>
      <c r="N17" s="1" t="str">
        <f ca="1">IF(IFERROR(VALUE(G17),G17)&lt;&gt;IFERROR(VALUE(F17),F17),"ERROR","")</f>
        <v/>
      </c>
      <c r="O17">
        <v>5</v>
      </c>
      <c r="P17">
        <v>130</v>
      </c>
      <c r="Q17" s="1" t="str">
        <f>IF(AND(M17=C17,E17=P17,O17=F17),"","BADNESS")</f>
        <v/>
      </c>
    </row>
    <row r="18" spans="1:17" x14ac:dyDescent="0.35">
      <c r="A18" t="e">
        <f>A17+1</f>
        <v>#VALUE!</v>
      </c>
      <c r="C18" s="2" t="s">
        <v>152</v>
      </c>
      <c r="E18">
        <v>132</v>
      </c>
      <c r="F18" s="4" t="s">
        <v>160</v>
      </c>
      <c r="G18" s="5" t="str" cm="1">
        <f t="array" aca="1" ref="G18" ca="1">IFERROR(LEFT(C18,_xlfn.AGGREGATE(15,6,ROW(INDIRECT("1:"&amp;LEN(C18)+1))/(ISERROR(MID(C18&amp;" ",ROW(INDIRECT("1:"&amp;LEN(C18)+1)),1)*1)*(MID(C18&amp;" ",ROW(INDIRECT("1:"&amp;LEN(C18)+1)),1)&lt;&gt;".")*(MID(C18&amp;" ",ROW(INDIRECT("1:"&amp;LEN(C18)+1)),1)&lt;&gt;"-")),1)-1),C18)</f>
        <v>5.10</v>
      </c>
      <c r="H18" t="str">
        <f>IF(ISNUMBER(SEARCH("easy",C18)),"easy",IF(ISNUMBER(SEARCH("medium",C18)),"medium",IF(ISNUMBER(SEARCH("moderate",C18)),"moderate",IF(ISNUMBER(SEARCH("hard",C18)),"hard",""))))</f>
        <v>medium</v>
      </c>
      <c r="I18" t="s">
        <v>116</v>
      </c>
      <c r="J18" s="3">
        <v>4</v>
      </c>
      <c r="M18" s="3" t="s">
        <v>152</v>
      </c>
      <c r="N18" s="1" t="str">
        <f ca="1">IF(IFERROR(VALUE(G18),G18)&lt;&gt;IFERROR(VALUE(F18),F18),"ERROR","")</f>
        <v/>
      </c>
      <c r="O18">
        <v>5.0999999999999996</v>
      </c>
      <c r="P18">
        <v>132</v>
      </c>
      <c r="Q18" s="1" t="str">
        <f>IF(AND(M18=C18,E18=P18,O18=F18),"","BADNESS")</f>
        <v>BADNESS</v>
      </c>
    </row>
    <row r="19" spans="1:17" x14ac:dyDescent="0.35">
      <c r="A19" t="e">
        <f>A18+1</f>
        <v>#VALUE!</v>
      </c>
      <c r="C19" s="2" t="s">
        <v>153</v>
      </c>
      <c r="E19">
        <v>133</v>
      </c>
      <c r="F19" s="4">
        <v>7</v>
      </c>
      <c r="G19" s="5" t="str" cm="1">
        <f t="array" aca="1" ref="G19" ca="1">IFERROR(LEFT(C19,_xlfn.AGGREGATE(15,6,ROW(INDIRECT("1:"&amp;LEN(C19)+1))/(ISERROR(MID(C19&amp;" ",ROW(INDIRECT("1:"&amp;LEN(C19)+1)),1)*1)*(MID(C19&amp;" ",ROW(INDIRECT("1:"&amp;LEN(C19)+1)),1)&lt;&gt;".")*(MID(C19&amp;" ",ROW(INDIRECT("1:"&amp;LEN(C19)+1)),1)&lt;&gt;"-")),1)-1),C19)</f>
        <v>7</v>
      </c>
      <c r="H19" t="str">
        <f>IF(ISNUMBER(SEARCH("easy",C19)),"easy",IF(ISNUMBER(SEARCH("medium",C19)),"medium",IF(ISNUMBER(SEARCH("moderate",C19)),"moderate",IF(ISNUMBER(SEARCH("hard",C19)),"hard",""))))</f>
        <v>medium</v>
      </c>
      <c r="I19" t="s">
        <v>116</v>
      </c>
      <c r="J19" s="3">
        <v>4</v>
      </c>
      <c r="M19" s="3" t="s">
        <v>153</v>
      </c>
      <c r="N19" s="1" t="str">
        <f ca="1">IF(IFERROR(VALUE(G19),G19)&lt;&gt;IFERROR(VALUE(F19),F19),"ERROR","")</f>
        <v/>
      </c>
      <c r="O19">
        <v>7</v>
      </c>
      <c r="P19">
        <v>133</v>
      </c>
      <c r="Q19" s="1" t="str">
        <f>IF(AND(M19=C19,E19=P19,O19=F19),"","BADNESS")</f>
        <v/>
      </c>
    </row>
    <row r="20" spans="1:17" x14ac:dyDescent="0.35">
      <c r="A20" t="e">
        <f>A19+1</f>
        <v>#VALUE!</v>
      </c>
      <c r="C20" s="2" t="s">
        <v>122</v>
      </c>
      <c r="E20">
        <v>102</v>
      </c>
      <c r="F20" s="4">
        <v>0.72299999999999998</v>
      </c>
      <c r="G20" s="5" t="str" cm="1">
        <f t="array" aca="1" ref="G20" ca="1">IFERROR(LEFT(C20,_xlfn.AGGREGATE(15,6,ROW(INDIRECT("1:"&amp;LEN(C20)+1))/(ISERROR(MID(C20&amp;" ",ROW(INDIRECT("1:"&amp;LEN(C20)+1)),1)*1)*(MID(C20&amp;" ",ROW(INDIRECT("1:"&amp;LEN(C20)+1)),1)&lt;&gt;".")*(MID(C20&amp;" ",ROW(INDIRECT("1:"&amp;LEN(C20)+1)),1)&lt;&gt;"-")),1)-1),C20)</f>
        <v>0.723</v>
      </c>
      <c r="H20" t="str">
        <f>IF(ISNUMBER(SEARCH("easy",C20)),"easy",IF(ISNUMBER(SEARCH("medium",C20)),"medium",IF(ISNUMBER(SEARCH("moderate",C20)),"moderate",IF(ISNUMBER(SEARCH("hard",C20)),"hard",""))))</f>
        <v>easy</v>
      </c>
      <c r="I20" t="s">
        <v>116</v>
      </c>
      <c r="J20" s="3">
        <v>1</v>
      </c>
      <c r="M20" s="3" t="s">
        <v>122</v>
      </c>
      <c r="N20" s="1" t="str">
        <f ca="1">IF(IFERROR(VALUE(G20),G20)&lt;&gt;IFERROR(VALUE(F20),F20),"ERROR","")</f>
        <v/>
      </c>
      <c r="O20">
        <v>0.72299999999999998</v>
      </c>
      <c r="P20">
        <v>102</v>
      </c>
      <c r="Q20" s="1" t="str">
        <f>IF(AND(M20=C20,E20=P20,O20=F20),"","BADNESS")</f>
        <v/>
      </c>
    </row>
    <row r="21" spans="1:17" x14ac:dyDescent="0.35">
      <c r="A21" t="e">
        <f>A20+1</f>
        <v>#VALUE!</v>
      </c>
      <c r="C21" s="2" t="s">
        <v>123</v>
      </c>
      <c r="E21">
        <v>103</v>
      </c>
      <c r="F21" s="4">
        <v>0.72399999999999998</v>
      </c>
      <c r="G21" s="5" t="str" cm="1">
        <f t="array" aca="1" ref="G21" ca="1">IFERROR(LEFT(C21,_xlfn.AGGREGATE(15,6,ROW(INDIRECT("1:"&amp;LEN(C21)+1))/(ISERROR(MID(C21&amp;" ",ROW(INDIRECT("1:"&amp;LEN(C21)+1)),1)*1)*(MID(C21&amp;" ",ROW(INDIRECT("1:"&amp;LEN(C21)+1)),1)&lt;&gt;".")*(MID(C21&amp;" ",ROW(INDIRECT("1:"&amp;LEN(C21)+1)),1)&lt;&gt;"-")),1)-1),C21)</f>
        <v>0.724</v>
      </c>
      <c r="H21" t="str">
        <f>IF(ISNUMBER(SEARCH("easy",C21)),"easy",IF(ISNUMBER(SEARCH("medium",C21)),"medium",IF(ISNUMBER(SEARCH("moderate",C21)),"moderate",IF(ISNUMBER(SEARCH("hard",C21)),"hard",""))))</f>
        <v>easy</v>
      </c>
      <c r="I21" t="s">
        <v>116</v>
      </c>
      <c r="J21" s="3">
        <v>2</v>
      </c>
      <c r="M21" s="3" t="s">
        <v>123</v>
      </c>
      <c r="N21" s="1" t="str">
        <f ca="1">IF(IFERROR(VALUE(G21),G21)&lt;&gt;IFERROR(VALUE(F21),F21),"ERROR","")</f>
        <v/>
      </c>
      <c r="O21">
        <v>0.72399999999999998</v>
      </c>
      <c r="P21">
        <v>103</v>
      </c>
      <c r="Q21" s="1" t="str">
        <f>IF(AND(M21=C21,E21=P21,O21=F21),"","BADNESS")</f>
        <v/>
      </c>
    </row>
    <row r="22" spans="1:17" x14ac:dyDescent="0.35">
      <c r="A22" t="e">
        <f>A21+1</f>
        <v>#VALUE!</v>
      </c>
      <c r="C22" s="2" t="s">
        <v>124</v>
      </c>
      <c r="E22">
        <v>104</v>
      </c>
      <c r="F22" s="4">
        <v>0.75</v>
      </c>
      <c r="G22" s="5" t="str" cm="1">
        <f t="array" aca="1" ref="G22" ca="1">IFERROR(LEFT(C22,_xlfn.AGGREGATE(15,6,ROW(INDIRECT("1:"&amp;LEN(C22)+1))/(ISERROR(MID(C22&amp;" ",ROW(INDIRECT("1:"&amp;LEN(C22)+1)),1)*1)*(MID(C22&amp;" ",ROW(INDIRECT("1:"&amp;LEN(C22)+1)),1)&lt;&gt;".")*(MID(C22&amp;" ",ROW(INDIRECT("1:"&amp;LEN(C22)+1)),1)&lt;&gt;"-")),1)-1),C22)</f>
        <v>0.75</v>
      </c>
      <c r="H22" t="str">
        <f>IF(ISNUMBER(SEARCH("easy",C22)),"easy",IF(ISNUMBER(SEARCH("medium",C22)),"medium",IF(ISNUMBER(SEARCH("moderate",C22)),"moderate",IF(ISNUMBER(SEARCH("hard",C22)),"hard",""))))</f>
        <v>easy</v>
      </c>
      <c r="I22" t="s">
        <v>116</v>
      </c>
      <c r="J22" s="3">
        <v>2</v>
      </c>
      <c r="M22" s="3" t="s">
        <v>124</v>
      </c>
      <c r="N22" s="1" t="str">
        <f ca="1">IF(IFERROR(VALUE(G22),G22)&lt;&gt;IFERROR(VALUE(F22),F22),"ERROR","")</f>
        <v/>
      </c>
      <c r="O22">
        <v>0.75</v>
      </c>
      <c r="P22">
        <v>104</v>
      </c>
      <c r="Q22" s="1" t="str">
        <f>IF(AND(M22=C22,E22=P22,O22=F22),"","BADNESS")</f>
        <v/>
      </c>
    </row>
    <row r="23" spans="1:17" x14ac:dyDescent="0.35">
      <c r="A23" t="e">
        <f>A22+1</f>
        <v>#VALUE!</v>
      </c>
      <c r="C23" s="2" t="s">
        <v>126</v>
      </c>
      <c r="E23">
        <v>106</v>
      </c>
      <c r="F23" s="4">
        <v>1.57</v>
      </c>
      <c r="G23" s="5" t="str" cm="1">
        <f t="array" aca="1" ref="G23" ca="1">IFERROR(LEFT(C23,_xlfn.AGGREGATE(15,6,ROW(INDIRECT("1:"&amp;LEN(C23)+1))/(ISERROR(MID(C23&amp;" ",ROW(INDIRECT("1:"&amp;LEN(C23)+1)),1)*1)*(MID(C23&amp;" ",ROW(INDIRECT("1:"&amp;LEN(C23)+1)),1)&lt;&gt;".")*(MID(C23&amp;" ",ROW(INDIRECT("1:"&amp;LEN(C23)+1)),1)&lt;&gt;"-")),1)-1),C23)</f>
        <v>1.57</v>
      </c>
      <c r="H23" t="str">
        <f>IF(ISNUMBER(SEARCH("easy",C23)),"easy",IF(ISNUMBER(SEARCH("medium",C23)),"medium",IF(ISNUMBER(SEARCH("moderate",C23)),"moderate",IF(ISNUMBER(SEARCH("hard",C23)),"hard",""))))</f>
        <v>easy</v>
      </c>
      <c r="I23" t="s">
        <v>116</v>
      </c>
      <c r="J23" s="3">
        <v>1</v>
      </c>
      <c r="M23" s="3" t="s">
        <v>126</v>
      </c>
      <c r="N23" s="1" t="str">
        <f ca="1">IF(IFERROR(VALUE(G23),G23)&lt;&gt;IFERROR(VALUE(F23),F23),"ERROR","")</f>
        <v/>
      </c>
      <c r="O23">
        <v>1.57</v>
      </c>
      <c r="P23">
        <v>106</v>
      </c>
      <c r="Q23" s="1" t="str">
        <f>IF(AND(M23=C23,E23=P23,O23=F23),"","BADNESS")</f>
        <v/>
      </c>
    </row>
    <row r="24" spans="1:17" x14ac:dyDescent="0.35">
      <c r="A24" t="e">
        <f>A23+1</f>
        <v>#VALUE!</v>
      </c>
      <c r="C24" s="2" t="s">
        <v>129</v>
      </c>
      <c r="E24">
        <v>109</v>
      </c>
      <c r="F24" s="4">
        <v>18</v>
      </c>
      <c r="G24" s="5" t="str" cm="1">
        <f t="array" aca="1" ref="G24" ca="1">IFERROR(LEFT(C24,_xlfn.AGGREGATE(15,6,ROW(INDIRECT("1:"&amp;LEN(C24)+1))/(ISERROR(MID(C24&amp;" ",ROW(INDIRECT("1:"&amp;LEN(C24)+1)),1)*1)*(MID(C24&amp;" ",ROW(INDIRECT("1:"&amp;LEN(C24)+1)),1)&lt;&gt;".")*(MID(C24&amp;" ",ROW(INDIRECT("1:"&amp;LEN(C24)+1)),1)&lt;&gt;"-")),1)-1),C24)</f>
        <v>18</v>
      </c>
      <c r="H24" t="str">
        <f>IF(ISNUMBER(SEARCH("easy",C24)),"easy",IF(ISNUMBER(SEARCH("medium",C24)),"medium",IF(ISNUMBER(SEARCH("moderate",C24)),"moderate",IF(ISNUMBER(SEARCH("hard",C24)),"hard",""))))</f>
        <v>easy</v>
      </c>
      <c r="I24" t="s">
        <v>116</v>
      </c>
      <c r="J24" s="3">
        <v>1</v>
      </c>
      <c r="M24" s="3" t="s">
        <v>129</v>
      </c>
      <c r="N24" s="1" t="str">
        <f ca="1">IF(IFERROR(VALUE(G24),G24)&lt;&gt;IFERROR(VALUE(F24),F24),"ERROR","")</f>
        <v/>
      </c>
      <c r="O24">
        <v>18</v>
      </c>
      <c r="P24">
        <v>109</v>
      </c>
      <c r="Q24" s="1" t="str">
        <f>IF(AND(M24=C24,E24=P24,O24=F24),"","BADNESS")</f>
        <v/>
      </c>
    </row>
    <row r="25" spans="1:17" x14ac:dyDescent="0.35">
      <c r="A25" t="e">
        <f>A24+1</f>
        <v>#VALUE!</v>
      </c>
      <c r="C25" s="2" t="s">
        <v>131</v>
      </c>
      <c r="E25">
        <v>111</v>
      </c>
      <c r="F25" s="4">
        <v>2</v>
      </c>
      <c r="G25" s="5" t="str" cm="1">
        <f t="array" aca="1" ref="G25" ca="1">IFERROR(LEFT(C25,_xlfn.AGGREGATE(15,6,ROW(INDIRECT("1:"&amp;LEN(C25)+1))/(ISERROR(MID(C25&amp;" ",ROW(INDIRECT("1:"&amp;LEN(C25)+1)),1)*1)*(MID(C25&amp;" ",ROW(INDIRECT("1:"&amp;LEN(C25)+1)),1)&lt;&gt;".")*(MID(C25&amp;" ",ROW(INDIRECT("1:"&amp;LEN(C25)+1)),1)&lt;&gt;"-")),1)-1),C25)</f>
        <v>2</v>
      </c>
      <c r="H25" t="str">
        <f>IF(ISNUMBER(SEARCH("easy",C25)),"easy",IF(ISNUMBER(SEARCH("medium",C25)),"medium",IF(ISNUMBER(SEARCH("moderate",C25)),"moderate",IF(ISNUMBER(SEARCH("hard",C25)),"hard",""))))</f>
        <v>easy</v>
      </c>
      <c r="I25" t="s">
        <v>116</v>
      </c>
      <c r="J25" s="3">
        <v>1</v>
      </c>
      <c r="M25" s="3" t="s">
        <v>131</v>
      </c>
      <c r="N25" s="1" t="str">
        <f ca="1">IF(IFERROR(VALUE(G25),G25)&lt;&gt;IFERROR(VALUE(F25),F25),"ERROR","")</f>
        <v/>
      </c>
      <c r="O25">
        <v>2</v>
      </c>
      <c r="P25">
        <v>111</v>
      </c>
      <c r="Q25" s="1" t="str">
        <f>IF(AND(M25=C25,E25=P25,O25=F25),"","BADNESS")</f>
        <v/>
      </c>
    </row>
    <row r="26" spans="1:17" x14ac:dyDescent="0.35">
      <c r="A26" t="e">
        <f>A25+1</f>
        <v>#VALUE!</v>
      </c>
      <c r="C26" s="2" t="s">
        <v>132</v>
      </c>
      <c r="E26">
        <v>112</v>
      </c>
      <c r="F26" s="4">
        <v>2</v>
      </c>
      <c r="G26" s="5" t="str" cm="1">
        <f t="array" aca="1" ref="G26" ca="1">IFERROR(LEFT(C26,_xlfn.AGGREGATE(15,6,ROW(INDIRECT("1:"&amp;LEN(C26)+1))/(ISERROR(MID(C26&amp;" ",ROW(INDIRECT("1:"&amp;LEN(C26)+1)),1)*1)*(MID(C26&amp;" ",ROW(INDIRECT("1:"&amp;LEN(C26)+1)),1)&lt;&gt;".")*(MID(C26&amp;" ",ROW(INDIRECT("1:"&amp;LEN(C26)+1)),1)&lt;&gt;"-")),1)-1),C26)</f>
        <v>2</v>
      </c>
      <c r="H26" t="str">
        <f>IF(ISNUMBER(SEARCH("easy",C26)),"easy",IF(ISNUMBER(SEARCH("medium",C26)),"medium",IF(ISNUMBER(SEARCH("moderate",C26)),"moderate",IF(ISNUMBER(SEARCH("hard",C26)),"hard",""))))</f>
        <v>easy</v>
      </c>
      <c r="I26" t="s">
        <v>116</v>
      </c>
      <c r="J26" s="3">
        <v>1</v>
      </c>
      <c r="M26" s="3" t="s">
        <v>132</v>
      </c>
      <c r="N26" s="1" t="str">
        <f ca="1">IF(IFERROR(VALUE(G26),G26)&lt;&gt;IFERROR(VALUE(F26),F26),"ERROR","")</f>
        <v/>
      </c>
      <c r="O26">
        <v>2</v>
      </c>
      <c r="P26">
        <v>112</v>
      </c>
      <c r="Q26" s="1" t="str">
        <f>IF(AND(M26=C26,E26=P26,O26=F26),"","BADNESS")</f>
        <v/>
      </c>
    </row>
    <row r="27" spans="1:17" x14ac:dyDescent="0.35">
      <c r="A27" t="e">
        <f>A26+1</f>
        <v>#VALUE!</v>
      </c>
      <c r="C27" s="2" t="s">
        <v>133</v>
      </c>
      <c r="E27">
        <v>113</v>
      </c>
      <c r="F27" s="4">
        <v>2</v>
      </c>
      <c r="G27" s="5" t="str" cm="1">
        <f t="array" aca="1" ref="G27" ca="1">IFERROR(LEFT(C27,_xlfn.AGGREGATE(15,6,ROW(INDIRECT("1:"&amp;LEN(C27)+1))/(ISERROR(MID(C27&amp;" ",ROW(INDIRECT("1:"&amp;LEN(C27)+1)),1)*1)*(MID(C27&amp;" ",ROW(INDIRECT("1:"&amp;LEN(C27)+1)),1)&lt;&gt;".")*(MID(C27&amp;" ",ROW(INDIRECT("1:"&amp;LEN(C27)+1)),1)&lt;&gt;"-")),1)-1),C27)</f>
        <v>2</v>
      </c>
      <c r="H27" t="str">
        <f>IF(ISNUMBER(SEARCH("easy",C27)),"easy",IF(ISNUMBER(SEARCH("medium",C27)),"medium",IF(ISNUMBER(SEARCH("moderate",C27)),"moderate",IF(ISNUMBER(SEARCH("hard",C27)),"hard",""))))</f>
        <v>easy</v>
      </c>
      <c r="I27" t="s">
        <v>116</v>
      </c>
      <c r="J27" s="3">
        <v>1</v>
      </c>
      <c r="M27" s="3" t="s">
        <v>133</v>
      </c>
      <c r="N27" s="1" t="str">
        <f ca="1">IF(IFERROR(VALUE(G27),G27)&lt;&gt;IFERROR(VALUE(F27),F27),"ERROR","")</f>
        <v/>
      </c>
      <c r="O27">
        <v>2</v>
      </c>
      <c r="P27">
        <v>113</v>
      </c>
      <c r="Q27" s="1" t="str">
        <f>IF(AND(M27=C27,E27=P27,O27=F27),"","BADNESS")</f>
        <v/>
      </c>
    </row>
    <row r="28" spans="1:17" x14ac:dyDescent="0.35">
      <c r="A28" t="e">
        <f>A27+1</f>
        <v>#VALUE!</v>
      </c>
      <c r="C28" s="2" t="s">
        <v>138</v>
      </c>
      <c r="E28">
        <v>118</v>
      </c>
      <c r="F28" s="4">
        <v>3</v>
      </c>
      <c r="G28" s="5" t="str" cm="1">
        <f t="array" aca="1" ref="G28" ca="1">IFERROR(LEFT(C28,_xlfn.AGGREGATE(15,6,ROW(INDIRECT("1:"&amp;LEN(C28)+1))/(ISERROR(MID(C28&amp;" ",ROW(INDIRECT("1:"&amp;LEN(C28)+1)),1)*1)*(MID(C28&amp;" ",ROW(INDIRECT("1:"&amp;LEN(C28)+1)),1)&lt;&gt;".")*(MID(C28&amp;" ",ROW(INDIRECT("1:"&amp;LEN(C28)+1)),1)&lt;&gt;"-")),1)-1),C28)</f>
        <v>3</v>
      </c>
      <c r="H28" t="str">
        <f>IF(ISNUMBER(SEARCH("easy",C28)),"easy",IF(ISNUMBER(SEARCH("medium",C28)),"medium",IF(ISNUMBER(SEARCH("moderate",C28)),"moderate",IF(ISNUMBER(SEARCH("hard",C28)),"hard",""))))</f>
        <v>easy</v>
      </c>
      <c r="I28" t="s">
        <v>116</v>
      </c>
      <c r="J28" s="3">
        <v>1</v>
      </c>
      <c r="M28" s="3" t="s">
        <v>138</v>
      </c>
      <c r="N28" s="1" t="str">
        <f ca="1">IF(IFERROR(VALUE(G28),G28)&lt;&gt;IFERROR(VALUE(F28),F28),"ERROR","")</f>
        <v/>
      </c>
      <c r="O28">
        <v>3</v>
      </c>
      <c r="P28">
        <v>118</v>
      </c>
      <c r="Q28" s="1" t="str">
        <f>IF(AND(M28=C28,E28=P28,O28=F28),"","BADNESS")</f>
        <v/>
      </c>
    </row>
    <row r="29" spans="1:17" x14ac:dyDescent="0.35">
      <c r="A29" t="e">
        <f>A28+1</f>
        <v>#VALUE!</v>
      </c>
      <c r="C29" s="2" t="s">
        <v>140</v>
      </c>
      <c r="E29">
        <v>120</v>
      </c>
      <c r="F29" s="4">
        <v>30</v>
      </c>
      <c r="G29" s="5" t="str" cm="1">
        <f t="array" aca="1" ref="G29" ca="1">IFERROR(LEFT(C29,_xlfn.AGGREGATE(15,6,ROW(INDIRECT("1:"&amp;LEN(C29)+1))/(ISERROR(MID(C29&amp;" ",ROW(INDIRECT("1:"&amp;LEN(C29)+1)),1)*1)*(MID(C29&amp;" ",ROW(INDIRECT("1:"&amp;LEN(C29)+1)),1)&lt;&gt;".")*(MID(C29&amp;" ",ROW(INDIRECT("1:"&amp;LEN(C29)+1)),1)&lt;&gt;"-")),1)-1),C29)</f>
        <v>30</v>
      </c>
      <c r="H29" t="str">
        <f>IF(ISNUMBER(SEARCH("easy",C29)),"easy",IF(ISNUMBER(SEARCH("medium",C29)),"medium",IF(ISNUMBER(SEARCH("moderate",C29)),"moderate",IF(ISNUMBER(SEARCH("hard",C29)),"hard",""))))</f>
        <v>easy</v>
      </c>
      <c r="I29" t="s">
        <v>116</v>
      </c>
      <c r="J29" s="3">
        <v>2</v>
      </c>
      <c r="M29" s="3" t="s">
        <v>140</v>
      </c>
      <c r="N29" s="1" t="str">
        <f ca="1">IF(IFERROR(VALUE(G29),G29)&lt;&gt;IFERROR(VALUE(F29),F29),"ERROR","")</f>
        <v/>
      </c>
      <c r="O29">
        <v>30</v>
      </c>
      <c r="P29">
        <v>120</v>
      </c>
      <c r="Q29" s="1" t="str">
        <f>IF(AND(M29=C29,E29=P29,O29=F29),"","BADNESS")</f>
        <v/>
      </c>
    </row>
    <row r="30" spans="1:17" x14ac:dyDescent="0.35">
      <c r="A30" t="e">
        <f>A29+1</f>
        <v>#VALUE!</v>
      </c>
      <c r="C30" s="2" t="s">
        <v>141</v>
      </c>
      <c r="E30">
        <v>121</v>
      </c>
      <c r="F30" s="4">
        <v>4</v>
      </c>
      <c r="G30" s="5" t="str" cm="1">
        <f t="array" aca="1" ref="G30" ca="1">IFERROR(LEFT(C30,_xlfn.AGGREGATE(15,6,ROW(INDIRECT("1:"&amp;LEN(C30)+1))/(ISERROR(MID(C30&amp;" ",ROW(INDIRECT("1:"&amp;LEN(C30)+1)),1)*1)*(MID(C30&amp;" ",ROW(INDIRECT("1:"&amp;LEN(C30)+1)),1)&lt;&gt;".")*(MID(C30&amp;" ",ROW(INDIRECT("1:"&amp;LEN(C30)+1)),1)&lt;&gt;"-")),1)-1),C30)</f>
        <v>4</v>
      </c>
      <c r="H30" t="str">
        <f>IF(ISNUMBER(SEARCH("easy",C30)),"easy",IF(ISNUMBER(SEARCH("medium",C30)),"medium",IF(ISNUMBER(SEARCH("moderate",C30)),"moderate",IF(ISNUMBER(SEARCH("hard",C30)),"hard",""))))</f>
        <v>easy</v>
      </c>
      <c r="I30" t="s">
        <v>116</v>
      </c>
      <c r="J30" s="3">
        <v>2</v>
      </c>
      <c r="M30" s="3" t="s">
        <v>141</v>
      </c>
      <c r="N30" s="1" t="str">
        <f ca="1">IF(IFERROR(VALUE(G30),G30)&lt;&gt;IFERROR(VALUE(F30),F30),"ERROR","")</f>
        <v/>
      </c>
      <c r="O30">
        <v>4</v>
      </c>
      <c r="P30">
        <v>121</v>
      </c>
      <c r="Q30" s="1" t="str">
        <f>IF(AND(M30=C30,E30=P30,O30=F30),"","BADNESS")</f>
        <v/>
      </c>
    </row>
    <row r="31" spans="1:17" x14ac:dyDescent="0.35">
      <c r="A31" t="e">
        <f>A30+1</f>
        <v>#VALUE!</v>
      </c>
      <c r="C31" s="2" t="s">
        <v>142</v>
      </c>
      <c r="E31">
        <v>122</v>
      </c>
      <c r="F31" s="4">
        <v>4</v>
      </c>
      <c r="G31" s="5" t="str" cm="1">
        <f t="array" aca="1" ref="G31" ca="1">IFERROR(LEFT(C31,_xlfn.AGGREGATE(15,6,ROW(INDIRECT("1:"&amp;LEN(C31)+1))/(ISERROR(MID(C31&amp;" ",ROW(INDIRECT("1:"&amp;LEN(C31)+1)),1)*1)*(MID(C31&amp;" ",ROW(INDIRECT("1:"&amp;LEN(C31)+1)),1)&lt;&gt;".")*(MID(C31&amp;" ",ROW(INDIRECT("1:"&amp;LEN(C31)+1)),1)&lt;&gt;"-")),1)-1),C31)</f>
        <v>4</v>
      </c>
      <c r="H31" t="str">
        <f>IF(ISNUMBER(SEARCH("easy",C31)),"easy",IF(ISNUMBER(SEARCH("medium",C31)),"medium",IF(ISNUMBER(SEARCH("moderate",C31)),"moderate",IF(ISNUMBER(SEARCH("hard",C31)),"hard",""))))</f>
        <v>easy</v>
      </c>
      <c r="I31" t="s">
        <v>116</v>
      </c>
      <c r="J31" s="3">
        <v>2</v>
      </c>
      <c r="M31" s="3" t="s">
        <v>142</v>
      </c>
      <c r="N31" s="1" t="str">
        <f ca="1">IF(IFERROR(VALUE(G31),G31)&lt;&gt;IFERROR(VALUE(F31),F31),"ERROR","")</f>
        <v/>
      </c>
      <c r="O31">
        <v>4</v>
      </c>
      <c r="P31">
        <v>122</v>
      </c>
      <c r="Q31" s="1" t="str">
        <f>IF(AND(M31=C31,E31=P31,O31=F31),"","BADNESS")</f>
        <v/>
      </c>
    </row>
    <row r="32" spans="1:17" x14ac:dyDescent="0.35">
      <c r="A32" t="e">
        <f>A31+1</f>
        <v>#VALUE!</v>
      </c>
      <c r="C32" s="2" t="s">
        <v>143</v>
      </c>
      <c r="E32">
        <v>123</v>
      </c>
      <c r="F32" s="4">
        <v>4</v>
      </c>
      <c r="G32" s="5" t="str" cm="1">
        <f t="array" aca="1" ref="G32" ca="1">IFERROR(LEFT(C32,_xlfn.AGGREGATE(15,6,ROW(INDIRECT("1:"&amp;LEN(C32)+1))/(ISERROR(MID(C32&amp;" ",ROW(INDIRECT("1:"&amp;LEN(C32)+1)),1)*1)*(MID(C32&amp;" ",ROW(INDIRECT("1:"&amp;LEN(C32)+1)),1)&lt;&gt;".")*(MID(C32&amp;" ",ROW(INDIRECT("1:"&amp;LEN(C32)+1)),1)&lt;&gt;"-")),1)-1),C32)</f>
        <v>4</v>
      </c>
      <c r="H32" t="str">
        <f>IF(ISNUMBER(SEARCH("easy",C32)),"easy",IF(ISNUMBER(SEARCH("medium",C32)),"medium",IF(ISNUMBER(SEARCH("moderate",C32)),"moderate",IF(ISNUMBER(SEARCH("hard",C32)),"hard",""))))</f>
        <v>easy</v>
      </c>
      <c r="I32" t="s">
        <v>116</v>
      </c>
      <c r="J32" s="3">
        <v>1</v>
      </c>
      <c r="M32" s="3" t="s">
        <v>143</v>
      </c>
      <c r="N32" s="1" t="str">
        <f ca="1">IF(IFERROR(VALUE(G32),G32)&lt;&gt;IFERROR(VALUE(F32),F32),"ERROR","")</f>
        <v/>
      </c>
      <c r="O32">
        <v>4</v>
      </c>
      <c r="P32">
        <v>123</v>
      </c>
      <c r="Q32" s="1" t="str">
        <f>IF(AND(M32=C32,E32=P32,O32=F32),"","BADNESS")</f>
        <v/>
      </c>
    </row>
    <row r="33" spans="1:17" x14ac:dyDescent="0.35">
      <c r="A33" t="e">
        <f>A32+1</f>
        <v>#VALUE!</v>
      </c>
      <c r="C33" s="2" t="s">
        <v>147</v>
      </c>
      <c r="E33">
        <v>127</v>
      </c>
      <c r="F33" s="4">
        <v>5</v>
      </c>
      <c r="G33" s="5" t="str" cm="1">
        <f t="array" aca="1" ref="G33" ca="1">IFERROR(LEFT(C33,_xlfn.AGGREGATE(15,6,ROW(INDIRECT("1:"&amp;LEN(C33)+1))/(ISERROR(MID(C33&amp;" ",ROW(INDIRECT("1:"&amp;LEN(C33)+1)),1)*1)*(MID(C33&amp;" ",ROW(INDIRECT("1:"&amp;LEN(C33)+1)),1)&lt;&gt;".")*(MID(C33&amp;" ",ROW(INDIRECT("1:"&amp;LEN(C33)+1)),1)&lt;&gt;"-")),1)-1),C33)</f>
        <v>5</v>
      </c>
      <c r="H33" t="str">
        <f>IF(ISNUMBER(SEARCH("easy",C33)),"easy",IF(ISNUMBER(SEARCH("medium",C33)),"medium",IF(ISNUMBER(SEARCH("moderate",C33)),"moderate",IF(ISNUMBER(SEARCH("hard",C33)),"hard",""))))</f>
        <v>easy</v>
      </c>
      <c r="I33" t="s">
        <v>116</v>
      </c>
      <c r="J33" s="3">
        <v>1</v>
      </c>
      <c r="M33" s="3" t="s">
        <v>147</v>
      </c>
      <c r="N33" s="1" t="str">
        <f ca="1">IF(IFERROR(VALUE(G33),G33)&lt;&gt;IFERROR(VALUE(F33),F33),"ERROR","")</f>
        <v/>
      </c>
      <c r="O33">
        <v>5</v>
      </c>
      <c r="P33">
        <v>127</v>
      </c>
      <c r="Q33" s="1" t="str">
        <f>IF(AND(M33=C33,E33=P33,O33=F33),"","BADNESS")</f>
        <v/>
      </c>
    </row>
    <row r="34" spans="1:17" x14ac:dyDescent="0.35">
      <c r="A34" t="e">
        <f>A33+1</f>
        <v>#VALUE!</v>
      </c>
      <c r="C34" s="2" t="s">
        <v>148</v>
      </c>
      <c r="E34">
        <v>128</v>
      </c>
      <c r="F34" s="4">
        <v>5</v>
      </c>
      <c r="G34" s="5" t="str" cm="1">
        <f t="array" aca="1" ref="G34" ca="1">IFERROR(LEFT(C34,_xlfn.AGGREGATE(15,6,ROW(INDIRECT("1:"&amp;LEN(C34)+1))/(ISERROR(MID(C34&amp;" ",ROW(INDIRECT("1:"&amp;LEN(C34)+1)),1)*1)*(MID(C34&amp;" ",ROW(INDIRECT("1:"&amp;LEN(C34)+1)),1)&lt;&gt;".")*(MID(C34&amp;" ",ROW(INDIRECT("1:"&amp;LEN(C34)+1)),1)&lt;&gt;"-")),1)-1),C34)</f>
        <v>5</v>
      </c>
      <c r="H34" t="str">
        <f>IF(ISNUMBER(SEARCH("easy",C34)),"easy",IF(ISNUMBER(SEARCH("medium",C34)),"medium",IF(ISNUMBER(SEARCH("moderate",C34)),"moderate",IF(ISNUMBER(SEARCH("hard",C34)),"hard",""))))</f>
        <v>easy</v>
      </c>
      <c r="I34" t="s">
        <v>116</v>
      </c>
      <c r="J34" s="3">
        <v>1</v>
      </c>
      <c r="M34" s="3" t="s">
        <v>148</v>
      </c>
      <c r="N34" s="1" t="str">
        <f ca="1">IF(IFERROR(VALUE(G34),G34)&lt;&gt;IFERROR(VALUE(F34),F34),"ERROR","")</f>
        <v/>
      </c>
      <c r="O34">
        <v>5</v>
      </c>
      <c r="P34">
        <v>128</v>
      </c>
      <c r="Q34" s="1" t="str">
        <f>IF(AND(M34=C34,E34=P34,O34=F34),"","BADNESS")</f>
        <v/>
      </c>
    </row>
    <row r="35" spans="1:17" x14ac:dyDescent="0.35">
      <c r="A35" t="e">
        <f>A34+1</f>
        <v>#VALUE!</v>
      </c>
      <c r="C35" s="2" t="s">
        <v>149</v>
      </c>
      <c r="E35">
        <v>129</v>
      </c>
      <c r="F35" s="4">
        <v>5</v>
      </c>
      <c r="G35" s="5" t="str" cm="1">
        <f t="array" aca="1" ref="G35" ca="1">IFERROR(LEFT(C35,_xlfn.AGGREGATE(15,6,ROW(INDIRECT("1:"&amp;LEN(C35)+1))/(ISERROR(MID(C35&amp;" ",ROW(INDIRECT("1:"&amp;LEN(C35)+1)),1)*1)*(MID(C35&amp;" ",ROW(INDIRECT("1:"&amp;LEN(C35)+1)),1)&lt;&gt;".")*(MID(C35&amp;" ",ROW(INDIRECT("1:"&amp;LEN(C35)+1)),1)&lt;&gt;"-")),1)-1),C35)</f>
        <v>5</v>
      </c>
      <c r="H35" t="str">
        <f>IF(ISNUMBER(SEARCH("easy",C35)),"easy",IF(ISNUMBER(SEARCH("medium",C35)),"medium",IF(ISNUMBER(SEARCH("moderate",C35)),"moderate",IF(ISNUMBER(SEARCH("hard",C35)),"hard",""))))</f>
        <v>easy</v>
      </c>
      <c r="I35" t="s">
        <v>116</v>
      </c>
      <c r="J35" s="3">
        <v>1</v>
      </c>
      <c r="M35" s="3" t="s">
        <v>149</v>
      </c>
      <c r="N35" s="1" t="str">
        <f ca="1">IF(IFERROR(VALUE(G35),G35)&lt;&gt;IFERROR(VALUE(F35),F35),"ERROR","")</f>
        <v/>
      </c>
      <c r="O35">
        <v>5</v>
      </c>
      <c r="P35">
        <v>129</v>
      </c>
      <c r="Q35" s="1" t="str">
        <f>IF(AND(M35=C35,E35=P35,O35=F35),"","BADNESS")</f>
        <v/>
      </c>
    </row>
    <row r="36" spans="1:17" x14ac:dyDescent="0.35">
      <c r="A36" t="e">
        <f>A35+1</f>
        <v>#VALUE!</v>
      </c>
      <c r="C36" s="2" t="s">
        <v>151</v>
      </c>
      <c r="E36">
        <v>131</v>
      </c>
      <c r="F36" s="4" t="s">
        <v>160</v>
      </c>
      <c r="G36" s="5" t="str" cm="1">
        <f t="array" aca="1" ref="G36" ca="1">IFERROR(LEFT(C36,_xlfn.AGGREGATE(15,6,ROW(INDIRECT("1:"&amp;LEN(C36)+1))/(ISERROR(MID(C36&amp;" ",ROW(INDIRECT("1:"&amp;LEN(C36)+1)),1)*1)*(MID(C36&amp;" ",ROW(INDIRECT("1:"&amp;LEN(C36)+1)),1)&lt;&gt;".")*(MID(C36&amp;" ",ROW(INDIRECT("1:"&amp;LEN(C36)+1)),1)&lt;&gt;"-")),1)-1),C36)</f>
        <v>5.10</v>
      </c>
      <c r="H36" t="str">
        <f>IF(ISNUMBER(SEARCH("easy",C36)),"easy",IF(ISNUMBER(SEARCH("medium",C36)),"medium",IF(ISNUMBER(SEARCH("moderate",C36)),"moderate",IF(ISNUMBER(SEARCH("hard",C36)),"hard",""))))</f>
        <v>easy</v>
      </c>
      <c r="I36" t="s">
        <v>116</v>
      </c>
      <c r="J36" s="3">
        <v>1</v>
      </c>
      <c r="M36" s="3" t="s">
        <v>151</v>
      </c>
      <c r="N36" s="1" t="str">
        <f ca="1">IF(IFERROR(VALUE(G36),G36)&lt;&gt;IFERROR(VALUE(F36),F36),"ERROR","")</f>
        <v/>
      </c>
      <c r="O36">
        <v>5.0999999999999996</v>
      </c>
      <c r="P36">
        <v>131</v>
      </c>
      <c r="Q36" s="1" t="str">
        <f>IF(AND(M36=C36,E36=P36,O36=F36),"","BADNESS")</f>
        <v>BADNESS</v>
      </c>
    </row>
    <row r="37" spans="1:17" x14ac:dyDescent="0.35">
      <c r="A37">
        <v>0</v>
      </c>
      <c r="C37">
        <v>343</v>
      </c>
      <c r="D37" t="s">
        <v>62</v>
      </c>
      <c r="E37">
        <v>0</v>
      </c>
      <c r="F37" s="4" t="s">
        <v>117</v>
      </c>
      <c r="G37" s="5" t="str" cm="1">
        <f t="array" aca="1" ref="G37" ca="1">IFERROR(LEFT(C37,_xlfn.AGGREGATE(15,6,ROW(INDIRECT("1:"&amp;LEN(C37)+1))/(ISERROR(MID(C37&amp;" ",ROW(INDIRECT("1:"&amp;LEN(C37)+1)),1)*1)*(MID(C37&amp;" ",ROW(INDIRECT("1:"&amp;LEN(C37)+1)),1)&lt;&gt;".")*(MID(C37&amp;" ",ROW(INDIRECT("1:"&amp;LEN(C37)+1)),1)&lt;&gt;"-")),1)-1),C37)</f>
        <v>343</v>
      </c>
      <c r="H37" t="str">
        <f>IF(ISNUMBER(SEARCH("easy",C37)),"easy",IF(ISNUMBER(SEARCH("medium",C37)),"medium",IF(ISNUMBER(SEARCH("moderate",C37)),"moderate",IF(ISNUMBER(SEARCH("hard",C37)),"hard",""))))</f>
        <v/>
      </c>
      <c r="I37" t="s">
        <v>115</v>
      </c>
      <c r="J37" s="3">
        <f>100+MOD(A37,10)</f>
        <v>100</v>
      </c>
      <c r="N37" s="1" t="str">
        <f ca="1">IF(IFERROR(VALUE(G37),G37)&lt;&gt;IFERROR(VALUE(F37),F37),"ERROR","")</f>
        <v/>
      </c>
    </row>
    <row r="38" spans="1:17" x14ac:dyDescent="0.35">
      <c r="A38">
        <f>A37+1</f>
        <v>1</v>
      </c>
      <c r="B38" t="s">
        <v>5</v>
      </c>
      <c r="C38">
        <v>2.5</v>
      </c>
      <c r="D38" t="s">
        <v>36</v>
      </c>
      <c r="E38">
        <v>1</v>
      </c>
      <c r="F38" s="4">
        <v>2.5</v>
      </c>
      <c r="G38" s="5" t="str" cm="1">
        <f t="array" aca="1" ref="G38" ca="1">IFERROR(LEFT(C38,_xlfn.AGGREGATE(15,6,ROW(INDIRECT("1:"&amp;LEN(C38)+1))/(ISERROR(MID(C38&amp;" ",ROW(INDIRECT("1:"&amp;LEN(C38)+1)),1)*1)*(MID(C38&amp;" ",ROW(INDIRECT("1:"&amp;LEN(C38)+1)),1)&lt;&gt;".")*(MID(C38&amp;" ",ROW(INDIRECT("1:"&amp;LEN(C38)+1)),1)&lt;&gt;"-")),1)-1),C38)</f>
        <v>2.5</v>
      </c>
      <c r="H38" t="str">
        <f>IF(ISNUMBER(SEARCH("easy",C38)),"easy",IF(ISNUMBER(SEARCH("medium",C38)),"medium",IF(ISNUMBER(SEARCH("moderate",C38)),"moderate",IF(ISNUMBER(SEARCH("hard",C38)),"hard",""))))</f>
        <v/>
      </c>
      <c r="I38" t="s">
        <v>115</v>
      </c>
      <c r="J38" s="3">
        <f>100+MOD(A38,10)</f>
        <v>101</v>
      </c>
      <c r="N38" s="1" t="str">
        <f ca="1">IF(IFERROR(VALUE(G38),G38)&lt;&gt;IFERROR(VALUE(F38),F38),"ERROR","")</f>
        <v/>
      </c>
    </row>
    <row r="39" spans="1:17" x14ac:dyDescent="0.35">
      <c r="A39">
        <f>A38+1</f>
        <v>2</v>
      </c>
      <c r="B39" t="s">
        <v>6</v>
      </c>
      <c r="C39">
        <v>6.32</v>
      </c>
      <c r="D39" t="s">
        <v>37</v>
      </c>
      <c r="E39">
        <v>2</v>
      </c>
      <c r="F39" s="4">
        <v>6.32</v>
      </c>
      <c r="G39" s="5" t="str" cm="1">
        <f t="array" aca="1" ref="G39" ca="1">IFERROR(LEFT(C39,_xlfn.AGGREGATE(15,6,ROW(INDIRECT("1:"&amp;LEN(C39)+1))/(ISERROR(MID(C39&amp;" ",ROW(INDIRECT("1:"&amp;LEN(C39)+1)),1)*1)*(MID(C39&amp;" ",ROW(INDIRECT("1:"&amp;LEN(C39)+1)),1)&lt;&gt;".")*(MID(C39&amp;" ",ROW(INDIRECT("1:"&amp;LEN(C39)+1)),1)&lt;&gt;"-")),1)-1),C39)</f>
        <v>6.32</v>
      </c>
      <c r="H39" t="str">
        <f>IF(ISNUMBER(SEARCH("easy",C39)),"easy",IF(ISNUMBER(SEARCH("medium",C39)),"medium",IF(ISNUMBER(SEARCH("moderate",C39)),"moderate",IF(ISNUMBER(SEARCH("hard",C39)),"hard",""))))</f>
        <v/>
      </c>
      <c r="I39" t="s">
        <v>115</v>
      </c>
      <c r="J39" s="3">
        <f>100+MOD(A39,10)</f>
        <v>102</v>
      </c>
      <c r="N39" s="1" t="str">
        <f ca="1">IF(IFERROR(VALUE(G39),G39)&lt;&gt;IFERROR(VALUE(F39),F39),"ERROR","")</f>
        <v/>
      </c>
    </row>
    <row r="40" spans="1:17" x14ac:dyDescent="0.35">
      <c r="A40">
        <f>A39+1</f>
        <v>3</v>
      </c>
      <c r="B40" t="s">
        <v>7</v>
      </c>
      <c r="C40">
        <v>7</v>
      </c>
      <c r="D40" t="s">
        <v>38</v>
      </c>
      <c r="E40">
        <v>3</v>
      </c>
      <c r="F40" s="4">
        <v>7</v>
      </c>
      <c r="G40" s="5" t="str" cm="1">
        <f t="array" aca="1" ref="G40" ca="1">IFERROR(LEFT(C40,_xlfn.AGGREGATE(15,6,ROW(INDIRECT("1:"&amp;LEN(C40)+1))/(ISERROR(MID(C40&amp;" ",ROW(INDIRECT("1:"&amp;LEN(C40)+1)),1)*1)*(MID(C40&amp;" ",ROW(INDIRECT("1:"&amp;LEN(C40)+1)),1)&lt;&gt;".")*(MID(C40&amp;" ",ROW(INDIRECT("1:"&amp;LEN(C40)+1)),1)&lt;&gt;"-")),1)-1),C40)</f>
        <v>7</v>
      </c>
      <c r="H40" t="str">
        <f>IF(ISNUMBER(SEARCH("easy",C40)),"easy",IF(ISNUMBER(SEARCH("medium",C40)),"medium",IF(ISNUMBER(SEARCH("moderate",C40)),"moderate",IF(ISNUMBER(SEARCH("hard",C40)),"hard",""))))</f>
        <v/>
      </c>
      <c r="I40" t="s">
        <v>115</v>
      </c>
      <c r="J40" s="3">
        <f>100+MOD(A40,10)</f>
        <v>103</v>
      </c>
      <c r="N40" s="1" t="str">
        <f ca="1">IF(IFERROR(VALUE(G40),G40)&lt;&gt;IFERROR(VALUE(F40),F40),"ERROR","")</f>
        <v/>
      </c>
    </row>
    <row r="41" spans="1:17" x14ac:dyDescent="0.35">
      <c r="A41">
        <f>A40+1</f>
        <v>4</v>
      </c>
      <c r="B41" t="s">
        <v>15</v>
      </c>
      <c r="C41">
        <v>13</v>
      </c>
      <c r="D41" t="s">
        <v>39</v>
      </c>
      <c r="E41">
        <v>4</v>
      </c>
      <c r="F41" s="4">
        <v>13</v>
      </c>
      <c r="G41" s="5" t="str" cm="1">
        <f t="array" aca="1" ref="G41" ca="1">IFERROR(LEFT(C41,_xlfn.AGGREGATE(15,6,ROW(INDIRECT("1:"&amp;LEN(C41)+1))/(ISERROR(MID(C41&amp;" ",ROW(INDIRECT("1:"&amp;LEN(C41)+1)),1)*1)*(MID(C41&amp;" ",ROW(INDIRECT("1:"&amp;LEN(C41)+1)),1)&lt;&gt;".")*(MID(C41&amp;" ",ROW(INDIRECT("1:"&amp;LEN(C41)+1)),1)&lt;&gt;"-")),1)-1),C41)</f>
        <v>13</v>
      </c>
      <c r="H41" t="str">
        <f>IF(ISNUMBER(SEARCH("easy",C41)),"easy",IF(ISNUMBER(SEARCH("medium",C41)),"medium",IF(ISNUMBER(SEARCH("moderate",C41)),"moderate",IF(ISNUMBER(SEARCH("hard",C41)),"hard",""))))</f>
        <v/>
      </c>
      <c r="I41" t="s">
        <v>115</v>
      </c>
      <c r="J41" s="3">
        <f>100+MOD(A41,10)</f>
        <v>104</v>
      </c>
      <c r="N41" s="1" t="str">
        <f ca="1">IF(IFERROR(VALUE(G41),G41)&lt;&gt;IFERROR(VALUE(F41),F41),"ERROR","")</f>
        <v/>
      </c>
    </row>
    <row r="42" spans="1:17" x14ac:dyDescent="0.35">
      <c r="A42">
        <f>A41+1</f>
        <v>5</v>
      </c>
      <c r="B42" t="s">
        <v>16</v>
      </c>
      <c r="C42">
        <v>20</v>
      </c>
      <c r="D42" t="s">
        <v>40</v>
      </c>
      <c r="E42">
        <v>5</v>
      </c>
      <c r="F42" s="4">
        <v>20</v>
      </c>
      <c r="G42" s="5" t="str" cm="1">
        <f t="array" aca="1" ref="G42" ca="1">IFERROR(LEFT(C42,_xlfn.AGGREGATE(15,6,ROW(INDIRECT("1:"&amp;LEN(C42)+1))/(ISERROR(MID(C42&amp;" ",ROW(INDIRECT("1:"&amp;LEN(C42)+1)),1)*1)*(MID(C42&amp;" ",ROW(INDIRECT("1:"&amp;LEN(C42)+1)),1)&lt;&gt;".")*(MID(C42&amp;" ",ROW(INDIRECT("1:"&amp;LEN(C42)+1)),1)&lt;&gt;"-")),1)-1),C42)</f>
        <v>20</v>
      </c>
      <c r="H42" t="str">
        <f>IF(ISNUMBER(SEARCH("easy",C42)),"easy",IF(ISNUMBER(SEARCH("medium",C42)),"medium",IF(ISNUMBER(SEARCH("moderate",C42)),"moderate",IF(ISNUMBER(SEARCH("hard",C42)),"hard",""))))</f>
        <v/>
      </c>
      <c r="I42" t="s">
        <v>115</v>
      </c>
      <c r="J42" s="3">
        <f>100+MOD(A42,10)</f>
        <v>105</v>
      </c>
      <c r="N42" s="1" t="str">
        <f ca="1">IF(IFERROR(VALUE(G42),G42)&lt;&gt;IFERROR(VALUE(F42),F42),"ERROR","")</f>
        <v/>
      </c>
    </row>
    <row r="43" spans="1:17" x14ac:dyDescent="0.35">
      <c r="A43">
        <f>A42+1</f>
        <v>6</v>
      </c>
      <c r="B43" t="s">
        <v>17</v>
      </c>
      <c r="C43">
        <v>2.8</v>
      </c>
      <c r="D43" t="s">
        <v>41</v>
      </c>
      <c r="E43">
        <v>6</v>
      </c>
      <c r="F43" s="4">
        <v>2.8</v>
      </c>
      <c r="G43" s="5" t="str" cm="1">
        <f t="array" aca="1" ref="G43" ca="1">IFERROR(LEFT(C43,_xlfn.AGGREGATE(15,6,ROW(INDIRECT("1:"&amp;LEN(C43)+1))/(ISERROR(MID(C43&amp;" ",ROW(INDIRECT("1:"&amp;LEN(C43)+1)),1)*1)*(MID(C43&amp;" ",ROW(INDIRECT("1:"&amp;LEN(C43)+1)),1)&lt;&gt;".")*(MID(C43&amp;" ",ROW(INDIRECT("1:"&amp;LEN(C43)+1)),1)&lt;&gt;"-")),1)-1),C43)</f>
        <v>2.8</v>
      </c>
      <c r="H43" t="str">
        <f>IF(ISNUMBER(SEARCH("easy",C43)),"easy",IF(ISNUMBER(SEARCH("medium",C43)),"medium",IF(ISNUMBER(SEARCH("moderate",C43)),"moderate",IF(ISNUMBER(SEARCH("hard",C43)),"hard",""))))</f>
        <v/>
      </c>
      <c r="I43" t="s">
        <v>115</v>
      </c>
      <c r="J43" s="3">
        <f>100+MOD(A43,10)</f>
        <v>106</v>
      </c>
      <c r="N43" s="1" t="str">
        <f ca="1">IF(IFERROR(VALUE(G43),G43)&lt;&gt;IFERROR(VALUE(F43),F43),"ERROR","")</f>
        <v/>
      </c>
    </row>
    <row r="44" spans="1:17" x14ac:dyDescent="0.35">
      <c r="A44">
        <f>A43+1</f>
        <v>7</v>
      </c>
      <c r="B44" t="s">
        <v>17</v>
      </c>
      <c r="C44">
        <v>0.6</v>
      </c>
      <c r="D44" t="s">
        <v>41</v>
      </c>
      <c r="E44">
        <v>7</v>
      </c>
      <c r="F44" s="4">
        <v>0.6</v>
      </c>
      <c r="G44" s="5" t="str" cm="1">
        <f t="array" aca="1" ref="G44" ca="1">IFERROR(LEFT(C44,_xlfn.AGGREGATE(15,6,ROW(INDIRECT("1:"&amp;LEN(C44)+1))/(ISERROR(MID(C44&amp;" ",ROW(INDIRECT("1:"&amp;LEN(C44)+1)),1)*1)*(MID(C44&amp;" ",ROW(INDIRECT("1:"&amp;LEN(C44)+1)),1)&lt;&gt;".")*(MID(C44&amp;" ",ROW(INDIRECT("1:"&amp;LEN(C44)+1)),1)&lt;&gt;"-")),1)-1),C44)</f>
        <v>0.6</v>
      </c>
      <c r="H44" t="str">
        <f>IF(ISNUMBER(SEARCH("easy",C44)),"easy",IF(ISNUMBER(SEARCH("medium",C44)),"medium",IF(ISNUMBER(SEARCH("moderate",C44)),"moderate",IF(ISNUMBER(SEARCH("hard",C44)),"hard",""))))</f>
        <v/>
      </c>
      <c r="I44" t="s">
        <v>115</v>
      </c>
      <c r="J44" s="3">
        <f>100+MOD(A44,10)</f>
        <v>107</v>
      </c>
      <c r="N44" s="1" t="str">
        <f ca="1">IF(IFERROR(VALUE(G44),G44)&lt;&gt;IFERROR(VALUE(F44),F44),"ERROR","")</f>
        <v/>
      </c>
    </row>
    <row r="45" spans="1:17" x14ac:dyDescent="0.35">
      <c r="A45">
        <f>A44+1</f>
        <v>8</v>
      </c>
      <c r="B45" t="s">
        <v>20</v>
      </c>
      <c r="C45">
        <v>0.4</v>
      </c>
      <c r="D45" t="s">
        <v>42</v>
      </c>
      <c r="E45">
        <v>8</v>
      </c>
      <c r="F45" s="4">
        <v>0.4</v>
      </c>
      <c r="G45" s="5" t="str" cm="1">
        <f t="array" aca="1" ref="G45" ca="1">IFERROR(LEFT(C45,_xlfn.AGGREGATE(15,6,ROW(INDIRECT("1:"&amp;LEN(C45)+1))/(ISERROR(MID(C45&amp;" ",ROW(INDIRECT("1:"&amp;LEN(C45)+1)),1)*1)*(MID(C45&amp;" ",ROW(INDIRECT("1:"&amp;LEN(C45)+1)),1)&lt;&gt;".")*(MID(C45&amp;" ",ROW(INDIRECT("1:"&amp;LEN(C45)+1)),1)&lt;&gt;"-")),1)-1),C45)</f>
        <v>0.4</v>
      </c>
      <c r="H45" t="str">
        <f>IF(ISNUMBER(SEARCH("easy",C45)),"easy",IF(ISNUMBER(SEARCH("medium",C45)),"medium",IF(ISNUMBER(SEARCH("moderate",C45)),"moderate",IF(ISNUMBER(SEARCH("hard",C45)),"hard",""))))</f>
        <v/>
      </c>
      <c r="I45" t="s">
        <v>115</v>
      </c>
      <c r="J45" s="3">
        <f>100+MOD(A45,10)</f>
        <v>108</v>
      </c>
      <c r="N45" s="1" t="str">
        <f ca="1">IF(IFERROR(VALUE(G45),G45)&lt;&gt;IFERROR(VALUE(F45),F45),"ERROR","")</f>
        <v/>
      </c>
    </row>
    <row r="46" spans="1:17" x14ac:dyDescent="0.35">
      <c r="A46">
        <f>A45+1</f>
        <v>9</v>
      </c>
      <c r="B46" t="s">
        <v>18</v>
      </c>
      <c r="C46">
        <v>14.3</v>
      </c>
      <c r="D46" t="s">
        <v>43</v>
      </c>
      <c r="E46">
        <v>9</v>
      </c>
      <c r="F46" s="4">
        <v>14.3</v>
      </c>
      <c r="G46" s="5" t="str" cm="1">
        <f t="array" aca="1" ref="G46" ca="1">IFERROR(LEFT(C46,_xlfn.AGGREGATE(15,6,ROW(INDIRECT("1:"&amp;LEN(C46)+1))/(ISERROR(MID(C46&amp;" ",ROW(INDIRECT("1:"&amp;LEN(C46)+1)),1)*1)*(MID(C46&amp;" ",ROW(INDIRECT("1:"&amp;LEN(C46)+1)),1)&lt;&gt;".")*(MID(C46&amp;" ",ROW(INDIRECT("1:"&amp;LEN(C46)+1)),1)&lt;&gt;"-")),1)-1),C46)</f>
        <v>14.3</v>
      </c>
      <c r="H46" t="str">
        <f>IF(ISNUMBER(SEARCH("easy",C46)),"easy",IF(ISNUMBER(SEARCH("medium",C46)),"medium",IF(ISNUMBER(SEARCH("moderate",C46)),"moderate",IF(ISNUMBER(SEARCH("hard",C46)),"hard",""))))</f>
        <v/>
      </c>
      <c r="I46" t="s">
        <v>115</v>
      </c>
      <c r="J46" s="3">
        <f>100+MOD(A46,10)</f>
        <v>109</v>
      </c>
      <c r="N46" s="1" t="str">
        <f ca="1">IF(IFERROR(VALUE(G46),G46)&lt;&gt;IFERROR(VALUE(F46),F46),"ERROR","")</f>
        <v/>
      </c>
    </row>
    <row r="47" spans="1:17" x14ac:dyDescent="0.35">
      <c r="A47">
        <f>A46+1</f>
        <v>10</v>
      </c>
      <c r="B47" t="s">
        <v>21</v>
      </c>
      <c r="C47">
        <v>2.5</v>
      </c>
      <c r="D47" t="s">
        <v>44</v>
      </c>
      <c r="E47">
        <v>10</v>
      </c>
      <c r="F47" s="4">
        <v>2.5</v>
      </c>
      <c r="G47" s="5" t="str" cm="1">
        <f t="array" aca="1" ref="G47" ca="1">IFERROR(LEFT(C47,_xlfn.AGGREGATE(15,6,ROW(INDIRECT("1:"&amp;LEN(C47)+1))/(ISERROR(MID(C47&amp;" ",ROW(INDIRECT("1:"&amp;LEN(C47)+1)),1)*1)*(MID(C47&amp;" ",ROW(INDIRECT("1:"&amp;LEN(C47)+1)),1)&lt;&gt;".")*(MID(C47&amp;" ",ROW(INDIRECT("1:"&amp;LEN(C47)+1)),1)&lt;&gt;"-")),1)-1),C47)</f>
        <v>2.5</v>
      </c>
      <c r="H47" t="str">
        <f>IF(ISNUMBER(SEARCH("easy",C47)),"easy",IF(ISNUMBER(SEARCH("medium",C47)),"medium",IF(ISNUMBER(SEARCH("moderate",C47)),"moderate",IF(ISNUMBER(SEARCH("hard",C47)),"hard",""))))</f>
        <v/>
      </c>
      <c r="I47" t="s">
        <v>115</v>
      </c>
      <c r="J47" s="3">
        <f>100+MOD(A47,10)</f>
        <v>100</v>
      </c>
      <c r="N47" s="1" t="str">
        <f ca="1">IF(IFERROR(VALUE(G47),G47)&lt;&gt;IFERROR(VALUE(F47),F47),"ERROR","")</f>
        <v/>
      </c>
    </row>
    <row r="48" spans="1:17" x14ac:dyDescent="0.35">
      <c r="A48">
        <f>A47+1</f>
        <v>11</v>
      </c>
      <c r="C48">
        <v>0.66700000000000004</v>
      </c>
      <c r="D48" t="s">
        <v>45</v>
      </c>
      <c r="E48">
        <v>11</v>
      </c>
      <c r="F48" s="4">
        <v>0.66700000000000004</v>
      </c>
      <c r="G48" s="5" t="str" cm="1">
        <f t="array" aca="1" ref="G48" ca="1">IFERROR(LEFT(C48,_xlfn.AGGREGATE(15,6,ROW(INDIRECT("1:"&amp;LEN(C48)+1))/(ISERROR(MID(C48&amp;" ",ROW(INDIRECT("1:"&amp;LEN(C48)+1)),1)*1)*(MID(C48&amp;" ",ROW(INDIRECT("1:"&amp;LEN(C48)+1)),1)&lt;&gt;".")*(MID(C48&amp;" ",ROW(INDIRECT("1:"&amp;LEN(C48)+1)),1)&lt;&gt;"-")),1)-1),C48)</f>
        <v>0.667</v>
      </c>
      <c r="H48" t="str">
        <f>IF(ISNUMBER(SEARCH("easy",C48)),"easy",IF(ISNUMBER(SEARCH("medium",C48)),"medium",IF(ISNUMBER(SEARCH("moderate",C48)),"moderate",IF(ISNUMBER(SEARCH("hard",C48)),"hard",""))))</f>
        <v/>
      </c>
      <c r="I48" t="s">
        <v>115</v>
      </c>
      <c r="J48" s="3">
        <f>100+MOD(A48,10)</f>
        <v>101</v>
      </c>
      <c r="N48" s="1" t="str">
        <f ca="1">IF(IFERROR(VALUE(G48),G48)&lt;&gt;IFERROR(VALUE(F48),F48),"ERROR","")</f>
        <v/>
      </c>
    </row>
    <row r="49" spans="1:14" x14ac:dyDescent="0.35">
      <c r="A49">
        <f>A48+1</f>
        <v>12</v>
      </c>
      <c r="C49">
        <v>4.25</v>
      </c>
      <c r="D49" t="s">
        <v>46</v>
      </c>
      <c r="E49">
        <v>12</v>
      </c>
      <c r="F49" s="4">
        <v>4.25</v>
      </c>
      <c r="G49" s="5" t="str" cm="1">
        <f t="array" aca="1" ref="G49" ca="1">IFERROR(LEFT(C49,_xlfn.AGGREGATE(15,6,ROW(INDIRECT("1:"&amp;LEN(C49)+1))/(ISERROR(MID(C49&amp;" ",ROW(INDIRECT("1:"&amp;LEN(C49)+1)),1)*1)*(MID(C49&amp;" ",ROW(INDIRECT("1:"&amp;LEN(C49)+1)),1)&lt;&gt;".")*(MID(C49&amp;" ",ROW(INDIRECT("1:"&amp;LEN(C49)+1)),1)&lt;&gt;"-")),1)-1),C49)</f>
        <v>4.25</v>
      </c>
      <c r="H49" t="str">
        <f>IF(ISNUMBER(SEARCH("easy",C49)),"easy",IF(ISNUMBER(SEARCH("medium",C49)),"medium",IF(ISNUMBER(SEARCH("moderate",C49)),"moderate",IF(ISNUMBER(SEARCH("hard",C49)),"hard",""))))</f>
        <v/>
      </c>
      <c r="I49" t="s">
        <v>115</v>
      </c>
      <c r="J49" s="3">
        <f>100+MOD(A49,10)</f>
        <v>102</v>
      </c>
      <c r="N49" s="1" t="str">
        <f ca="1">IF(IFERROR(VALUE(G49),G49)&lt;&gt;IFERROR(VALUE(F49),F49),"ERROR","")</f>
        <v/>
      </c>
    </row>
    <row r="50" spans="1:14" x14ac:dyDescent="0.35">
      <c r="A50">
        <f>A49+1</f>
        <v>13</v>
      </c>
      <c r="C50">
        <v>7.11</v>
      </c>
      <c r="D50" t="s">
        <v>22</v>
      </c>
      <c r="E50">
        <v>13</v>
      </c>
      <c r="F50" s="4">
        <v>7.11</v>
      </c>
      <c r="G50" s="5" t="str" cm="1">
        <f t="array" aca="1" ref="G50" ca="1">IFERROR(LEFT(C50,_xlfn.AGGREGATE(15,6,ROW(INDIRECT("1:"&amp;LEN(C50)+1))/(ISERROR(MID(C50&amp;" ",ROW(INDIRECT("1:"&amp;LEN(C50)+1)),1)*1)*(MID(C50&amp;" ",ROW(INDIRECT("1:"&amp;LEN(C50)+1)),1)&lt;&gt;".")*(MID(C50&amp;" ",ROW(INDIRECT("1:"&amp;LEN(C50)+1)),1)&lt;&gt;"-")),1)-1),C50)</f>
        <v>7.11</v>
      </c>
      <c r="H50" t="str">
        <f>IF(ISNUMBER(SEARCH("easy",C50)),"easy",IF(ISNUMBER(SEARCH("medium",C50)),"medium",IF(ISNUMBER(SEARCH("moderate",C50)),"moderate",IF(ISNUMBER(SEARCH("hard",C50)),"hard",""))))</f>
        <v/>
      </c>
      <c r="I50" t="s">
        <v>115</v>
      </c>
      <c r="J50" s="3">
        <f>100+MOD(A50,10)</f>
        <v>103</v>
      </c>
      <c r="N50" s="1" t="str">
        <f ca="1">IF(IFERROR(VALUE(G50),G50)&lt;&gt;IFERROR(VALUE(F50),F50),"ERROR","")</f>
        <v/>
      </c>
    </row>
    <row r="51" spans="1:14" x14ac:dyDescent="0.35">
      <c r="A51">
        <f>A50+1</f>
        <v>14</v>
      </c>
      <c r="C51">
        <v>-0.31</v>
      </c>
      <c r="D51" t="s">
        <v>23</v>
      </c>
      <c r="E51">
        <v>14</v>
      </c>
      <c r="F51" s="4">
        <v>-0.31</v>
      </c>
      <c r="G51" s="5" t="str" cm="1">
        <f t="array" aca="1" ref="G51" ca="1">IFERROR(LEFT(C51,_xlfn.AGGREGATE(15,6,ROW(INDIRECT("1:"&amp;LEN(C51)+1))/(ISERROR(MID(C51&amp;" ",ROW(INDIRECT("1:"&amp;LEN(C51)+1)),1)*1)*(MID(C51&amp;" ",ROW(INDIRECT("1:"&amp;LEN(C51)+1)),1)&lt;&gt;".")*(MID(C51&amp;" ",ROW(INDIRECT("1:"&amp;LEN(C51)+1)),1)&lt;&gt;"-")),1)-1),C51)</f>
        <v>-0.31</v>
      </c>
      <c r="H51" t="str">
        <f>IF(ISNUMBER(SEARCH("easy",C51)),"easy",IF(ISNUMBER(SEARCH("medium",C51)),"medium",IF(ISNUMBER(SEARCH("moderate",C51)),"moderate",IF(ISNUMBER(SEARCH("hard",C51)),"hard",""))))</f>
        <v/>
      </c>
      <c r="I51" t="s">
        <v>115</v>
      </c>
      <c r="J51" s="3">
        <f>100+MOD(A51,10)</f>
        <v>104</v>
      </c>
      <c r="N51" s="1" t="str">
        <f ca="1">IF(IFERROR(VALUE(G51),G51)&lt;&gt;IFERROR(VALUE(F51),F51),"ERROR","")</f>
        <v/>
      </c>
    </row>
    <row r="52" spans="1:14" x14ac:dyDescent="0.35">
      <c r="A52">
        <f>A51+1</f>
        <v>15</v>
      </c>
      <c r="C52">
        <v>3</v>
      </c>
      <c r="D52" t="s">
        <v>24</v>
      </c>
      <c r="E52">
        <v>15</v>
      </c>
      <c r="F52" s="4">
        <v>3</v>
      </c>
      <c r="G52" s="5" t="str" cm="1">
        <f t="array" aca="1" ref="G52" ca="1">IFERROR(LEFT(C52,_xlfn.AGGREGATE(15,6,ROW(INDIRECT("1:"&amp;LEN(C52)+1))/(ISERROR(MID(C52&amp;" ",ROW(INDIRECT("1:"&amp;LEN(C52)+1)),1)*1)*(MID(C52&amp;" ",ROW(INDIRECT("1:"&amp;LEN(C52)+1)),1)&lt;&gt;".")*(MID(C52&amp;" ",ROW(INDIRECT("1:"&amp;LEN(C52)+1)),1)&lt;&gt;"-")),1)-1),C52)</f>
        <v>3</v>
      </c>
      <c r="H52" t="str">
        <f>IF(ISNUMBER(SEARCH("easy",C52)),"easy",IF(ISNUMBER(SEARCH("medium",C52)),"medium",IF(ISNUMBER(SEARCH("moderate",C52)),"moderate",IF(ISNUMBER(SEARCH("hard",C52)),"hard",""))))</f>
        <v/>
      </c>
      <c r="I52" t="s">
        <v>115</v>
      </c>
      <c r="J52" s="3">
        <f>100+MOD(A52,10)</f>
        <v>105</v>
      </c>
      <c r="N52" s="1" t="str">
        <f ca="1">IF(IFERROR(VALUE(G52),G52)&lt;&gt;IFERROR(VALUE(F52),F52),"ERROR","")</f>
        <v/>
      </c>
    </row>
    <row r="53" spans="1:14" x14ac:dyDescent="0.35">
      <c r="A53">
        <f>A52+1</f>
        <v>16</v>
      </c>
      <c r="C53">
        <v>1.5</v>
      </c>
      <c r="D53" t="s">
        <v>25</v>
      </c>
      <c r="E53">
        <v>16</v>
      </c>
      <c r="F53" s="4">
        <v>1.5</v>
      </c>
      <c r="G53" s="5" t="str" cm="1">
        <f t="array" aca="1" ref="G53" ca="1">IFERROR(LEFT(C53,_xlfn.AGGREGATE(15,6,ROW(INDIRECT("1:"&amp;LEN(C53)+1))/(ISERROR(MID(C53&amp;" ",ROW(INDIRECT("1:"&amp;LEN(C53)+1)),1)*1)*(MID(C53&amp;" ",ROW(INDIRECT("1:"&amp;LEN(C53)+1)),1)&lt;&gt;".")*(MID(C53&amp;" ",ROW(INDIRECT("1:"&amp;LEN(C53)+1)),1)&lt;&gt;"-")),1)-1),C53)</f>
        <v>1.5</v>
      </c>
      <c r="H53" t="str">
        <f>IF(ISNUMBER(SEARCH("easy",C53)),"easy",IF(ISNUMBER(SEARCH("medium",C53)),"medium",IF(ISNUMBER(SEARCH("moderate",C53)),"moderate",IF(ISNUMBER(SEARCH("hard",C53)),"hard",""))))</f>
        <v/>
      </c>
      <c r="I53" t="s">
        <v>115</v>
      </c>
      <c r="J53" s="3">
        <f>100+MOD(A53,10)</f>
        <v>106</v>
      </c>
      <c r="N53" s="1" t="str">
        <f ca="1">IF(IFERROR(VALUE(G53),G53)&lt;&gt;IFERROR(VALUE(F53),F53),"ERROR","")</f>
        <v/>
      </c>
    </row>
    <row r="54" spans="1:14" x14ac:dyDescent="0.35">
      <c r="A54">
        <f>A53+1</f>
        <v>17</v>
      </c>
      <c r="C54">
        <v>3.38</v>
      </c>
      <c r="D54" t="s">
        <v>26</v>
      </c>
      <c r="E54">
        <v>17</v>
      </c>
      <c r="F54" s="4">
        <v>3.38</v>
      </c>
      <c r="G54" s="5" t="str" cm="1">
        <f t="array" aca="1" ref="G54" ca="1">IFERROR(LEFT(C54,_xlfn.AGGREGATE(15,6,ROW(INDIRECT("1:"&amp;LEN(C54)+1))/(ISERROR(MID(C54&amp;" ",ROW(INDIRECT("1:"&amp;LEN(C54)+1)),1)*1)*(MID(C54&amp;" ",ROW(INDIRECT("1:"&amp;LEN(C54)+1)),1)&lt;&gt;".")*(MID(C54&amp;" ",ROW(INDIRECT("1:"&amp;LEN(C54)+1)),1)&lt;&gt;"-")),1)-1),C54)</f>
        <v>3.38</v>
      </c>
      <c r="H54" t="str">
        <f>IF(ISNUMBER(SEARCH("easy",C54)),"easy",IF(ISNUMBER(SEARCH("medium",C54)),"medium",IF(ISNUMBER(SEARCH("moderate",C54)),"moderate",IF(ISNUMBER(SEARCH("hard",C54)),"hard",""))))</f>
        <v/>
      </c>
      <c r="I54" t="s">
        <v>115</v>
      </c>
      <c r="J54" s="3">
        <f>100+MOD(A54,10)</f>
        <v>107</v>
      </c>
      <c r="N54" s="1" t="str">
        <f ca="1">IF(IFERROR(VALUE(G54),G54)&lt;&gt;IFERROR(VALUE(F54),F54),"ERROR","")</f>
        <v/>
      </c>
    </row>
    <row r="55" spans="1:14" x14ac:dyDescent="0.35">
      <c r="A55">
        <f>A54+1</f>
        <v>18</v>
      </c>
      <c r="C55">
        <v>0.28599999999999998</v>
      </c>
      <c r="D55" t="s">
        <v>27</v>
      </c>
      <c r="E55">
        <v>18</v>
      </c>
      <c r="F55" s="4">
        <v>0.28599999999999998</v>
      </c>
      <c r="G55" s="5" t="str" cm="1">
        <f t="array" aca="1" ref="G55" ca="1">IFERROR(LEFT(C55,_xlfn.AGGREGATE(15,6,ROW(INDIRECT("1:"&amp;LEN(C55)+1))/(ISERROR(MID(C55&amp;" ",ROW(INDIRECT("1:"&amp;LEN(C55)+1)),1)*1)*(MID(C55&amp;" ",ROW(INDIRECT("1:"&amp;LEN(C55)+1)),1)&lt;&gt;".")*(MID(C55&amp;" ",ROW(INDIRECT("1:"&amp;LEN(C55)+1)),1)&lt;&gt;"-")),1)-1),C55)</f>
        <v>0.286</v>
      </c>
      <c r="H55" t="str">
        <f>IF(ISNUMBER(SEARCH("easy",C55)),"easy",IF(ISNUMBER(SEARCH("medium",C55)),"medium",IF(ISNUMBER(SEARCH("moderate",C55)),"moderate",IF(ISNUMBER(SEARCH("hard",C55)),"hard",""))))</f>
        <v/>
      </c>
      <c r="I55" t="s">
        <v>115</v>
      </c>
      <c r="J55" s="3">
        <f>100+MOD(A55,10)</f>
        <v>108</v>
      </c>
      <c r="N55" s="1" t="str">
        <f ca="1">IF(IFERROR(VALUE(G55),G55)&lt;&gt;IFERROR(VALUE(F55),F55),"ERROR","")</f>
        <v/>
      </c>
    </row>
    <row r="56" spans="1:14" x14ac:dyDescent="0.35">
      <c r="A56">
        <f>A55+1</f>
        <v>19</v>
      </c>
      <c r="C56">
        <v>2</v>
      </c>
      <c r="D56" t="s">
        <v>28</v>
      </c>
      <c r="E56">
        <v>19</v>
      </c>
      <c r="F56" s="4">
        <v>2</v>
      </c>
      <c r="G56" s="5" t="str" cm="1">
        <f t="array" aca="1" ref="G56" ca="1">IFERROR(LEFT(C56,_xlfn.AGGREGATE(15,6,ROW(INDIRECT("1:"&amp;LEN(C56)+1))/(ISERROR(MID(C56&amp;" ",ROW(INDIRECT("1:"&amp;LEN(C56)+1)),1)*1)*(MID(C56&amp;" ",ROW(INDIRECT("1:"&amp;LEN(C56)+1)),1)&lt;&gt;".")*(MID(C56&amp;" ",ROW(INDIRECT("1:"&amp;LEN(C56)+1)),1)&lt;&gt;"-")),1)-1),C56)</f>
        <v>2</v>
      </c>
      <c r="H56" t="str">
        <f>IF(ISNUMBER(SEARCH("easy",C56)),"easy",IF(ISNUMBER(SEARCH("medium",C56)),"medium",IF(ISNUMBER(SEARCH("moderate",C56)),"moderate",IF(ISNUMBER(SEARCH("hard",C56)),"hard",""))))</f>
        <v/>
      </c>
      <c r="I56" t="s">
        <v>115</v>
      </c>
      <c r="J56" s="3">
        <f>100+MOD(A56,10)</f>
        <v>109</v>
      </c>
      <c r="N56" s="1" t="str">
        <f ca="1">IF(IFERROR(VALUE(G56),G56)&lt;&gt;IFERROR(VALUE(F56),F56),"ERROR","")</f>
        <v/>
      </c>
    </row>
    <row r="57" spans="1:14" x14ac:dyDescent="0.35">
      <c r="A57">
        <f>A56+1</f>
        <v>20</v>
      </c>
      <c r="C57">
        <v>33</v>
      </c>
      <c r="D57" t="s">
        <v>29</v>
      </c>
      <c r="E57">
        <v>20</v>
      </c>
      <c r="F57" s="4">
        <v>33</v>
      </c>
      <c r="G57" s="5" t="str" cm="1">
        <f t="array" aca="1" ref="G57" ca="1">IFERROR(LEFT(C57,_xlfn.AGGREGATE(15,6,ROW(INDIRECT("1:"&amp;LEN(C57)+1))/(ISERROR(MID(C57&amp;" ",ROW(INDIRECT("1:"&amp;LEN(C57)+1)),1)*1)*(MID(C57&amp;" ",ROW(INDIRECT("1:"&amp;LEN(C57)+1)),1)&lt;&gt;".")*(MID(C57&amp;" ",ROW(INDIRECT("1:"&amp;LEN(C57)+1)),1)&lt;&gt;"-")),1)-1),C57)</f>
        <v>33</v>
      </c>
      <c r="H57" t="str">
        <f>IF(ISNUMBER(SEARCH("easy",C57)),"easy",IF(ISNUMBER(SEARCH("medium",C57)),"medium",IF(ISNUMBER(SEARCH("moderate",C57)),"moderate",IF(ISNUMBER(SEARCH("hard",C57)),"hard",""))))</f>
        <v/>
      </c>
      <c r="I57" t="s">
        <v>115</v>
      </c>
      <c r="J57" s="3">
        <f>100+MOD(A57,10)</f>
        <v>100</v>
      </c>
      <c r="N57" s="1" t="str">
        <f ca="1">IF(IFERROR(VALUE(G57),G57)&lt;&gt;IFERROR(VALUE(F57),F57),"ERROR","")</f>
        <v/>
      </c>
    </row>
    <row r="58" spans="1:14" x14ac:dyDescent="0.35">
      <c r="A58">
        <f>A57+1</f>
        <v>21</v>
      </c>
      <c r="C58">
        <v>0.25</v>
      </c>
      <c r="D58" t="s">
        <v>30</v>
      </c>
      <c r="E58">
        <v>21</v>
      </c>
      <c r="F58" s="4">
        <v>0.25</v>
      </c>
      <c r="G58" s="5" t="str" cm="1">
        <f t="array" aca="1" ref="G58" ca="1">IFERROR(LEFT(C58,_xlfn.AGGREGATE(15,6,ROW(INDIRECT("1:"&amp;LEN(C58)+1))/(ISERROR(MID(C58&amp;" ",ROW(INDIRECT("1:"&amp;LEN(C58)+1)),1)*1)*(MID(C58&amp;" ",ROW(INDIRECT("1:"&amp;LEN(C58)+1)),1)&lt;&gt;".")*(MID(C58&amp;" ",ROW(INDIRECT("1:"&amp;LEN(C58)+1)),1)&lt;&gt;"-")),1)-1),C58)</f>
        <v>0.25</v>
      </c>
      <c r="H58" t="str">
        <f>IF(ISNUMBER(SEARCH("easy",C58)),"easy",IF(ISNUMBER(SEARCH("medium",C58)),"medium",IF(ISNUMBER(SEARCH("moderate",C58)),"moderate",IF(ISNUMBER(SEARCH("hard",C58)),"hard",""))))</f>
        <v/>
      </c>
      <c r="I58" t="s">
        <v>115</v>
      </c>
      <c r="J58" s="3">
        <f>100+MOD(A58,10)</f>
        <v>101</v>
      </c>
      <c r="N58" s="1" t="str">
        <f ca="1">IF(IFERROR(VALUE(G58),G58)&lt;&gt;IFERROR(VALUE(F58),F58),"ERROR","")</f>
        <v/>
      </c>
    </row>
    <row r="59" spans="1:14" x14ac:dyDescent="0.35">
      <c r="A59">
        <f>A58+1</f>
        <v>22</v>
      </c>
      <c r="C59">
        <v>5</v>
      </c>
      <c r="D59" t="s">
        <v>31</v>
      </c>
      <c r="E59">
        <v>22</v>
      </c>
      <c r="F59" s="4">
        <v>5</v>
      </c>
      <c r="G59" s="5" t="str" cm="1">
        <f t="array" aca="1" ref="G59" ca="1">IFERROR(LEFT(C59,_xlfn.AGGREGATE(15,6,ROW(INDIRECT("1:"&amp;LEN(C59)+1))/(ISERROR(MID(C59&amp;" ",ROW(INDIRECT("1:"&amp;LEN(C59)+1)),1)*1)*(MID(C59&amp;" ",ROW(INDIRECT("1:"&amp;LEN(C59)+1)),1)&lt;&gt;".")*(MID(C59&amp;" ",ROW(INDIRECT("1:"&amp;LEN(C59)+1)),1)&lt;&gt;"-")),1)-1),C59)</f>
        <v>5</v>
      </c>
      <c r="H59" t="str">
        <f>IF(ISNUMBER(SEARCH("easy",C59)),"easy",IF(ISNUMBER(SEARCH("medium",C59)),"medium",IF(ISNUMBER(SEARCH("moderate",C59)),"moderate",IF(ISNUMBER(SEARCH("hard",C59)),"hard",""))))</f>
        <v/>
      </c>
      <c r="I59" t="s">
        <v>115</v>
      </c>
      <c r="J59" s="3">
        <f>100+MOD(A59,10)</f>
        <v>102</v>
      </c>
      <c r="N59" s="1" t="str">
        <f ca="1">IF(IFERROR(VALUE(G59),G59)&lt;&gt;IFERROR(VALUE(F59),F59),"ERROR","")</f>
        <v/>
      </c>
    </row>
    <row r="60" spans="1:14" x14ac:dyDescent="0.35">
      <c r="A60">
        <f>A59+1</f>
        <v>23</v>
      </c>
      <c r="C60">
        <v>1.4</v>
      </c>
      <c r="D60" t="s">
        <v>32</v>
      </c>
      <c r="E60">
        <v>23</v>
      </c>
      <c r="F60" s="4">
        <v>1.4</v>
      </c>
      <c r="G60" s="5" t="str" cm="1">
        <f t="array" aca="1" ref="G60" ca="1">IFERROR(LEFT(C60,_xlfn.AGGREGATE(15,6,ROW(INDIRECT("1:"&amp;LEN(C60)+1))/(ISERROR(MID(C60&amp;" ",ROW(INDIRECT("1:"&amp;LEN(C60)+1)),1)*1)*(MID(C60&amp;" ",ROW(INDIRECT("1:"&amp;LEN(C60)+1)),1)&lt;&gt;".")*(MID(C60&amp;" ",ROW(INDIRECT("1:"&amp;LEN(C60)+1)),1)&lt;&gt;"-")),1)-1),C60)</f>
        <v>1.4</v>
      </c>
      <c r="H60" t="str">
        <f>IF(ISNUMBER(SEARCH("easy",C60)),"easy",IF(ISNUMBER(SEARCH("medium",C60)),"medium",IF(ISNUMBER(SEARCH("moderate",C60)),"moderate",IF(ISNUMBER(SEARCH("hard",C60)),"hard",""))))</f>
        <v/>
      </c>
      <c r="I60" t="s">
        <v>115</v>
      </c>
      <c r="J60" s="3">
        <f>100+MOD(A60,10)</f>
        <v>103</v>
      </c>
      <c r="N60" s="1" t="str">
        <f ca="1">IF(IFERROR(VALUE(G60),G60)&lt;&gt;IFERROR(VALUE(F60),F60),"ERROR","")</f>
        <v/>
      </c>
    </row>
    <row r="61" spans="1:14" x14ac:dyDescent="0.35">
      <c r="A61">
        <f>A60+1</f>
        <v>24</v>
      </c>
      <c r="C61">
        <v>-10</v>
      </c>
      <c r="D61" t="s">
        <v>32</v>
      </c>
      <c r="E61">
        <v>24</v>
      </c>
      <c r="F61" s="4">
        <v>-10</v>
      </c>
      <c r="G61" s="5" t="str" cm="1">
        <f t="array" aca="1" ref="G61" ca="1">IFERROR(LEFT(C61,_xlfn.AGGREGATE(15,6,ROW(INDIRECT("1:"&amp;LEN(C61)+1))/(ISERROR(MID(C61&amp;" ",ROW(INDIRECT("1:"&amp;LEN(C61)+1)),1)*1)*(MID(C61&amp;" ",ROW(INDIRECT("1:"&amp;LEN(C61)+1)),1)&lt;&gt;".")*(MID(C61&amp;" ",ROW(INDIRECT("1:"&amp;LEN(C61)+1)),1)&lt;&gt;"-")),1)-1),C61)</f>
        <v>-10</v>
      </c>
      <c r="H61" t="str">
        <f>IF(ISNUMBER(SEARCH("easy",C61)),"easy",IF(ISNUMBER(SEARCH("medium",C61)),"medium",IF(ISNUMBER(SEARCH("moderate",C61)),"moderate",IF(ISNUMBER(SEARCH("hard",C61)),"hard",""))))</f>
        <v/>
      </c>
      <c r="I61" t="s">
        <v>115</v>
      </c>
      <c r="J61" s="3">
        <f>100+MOD(A61,10)</f>
        <v>104</v>
      </c>
      <c r="N61" s="1" t="str">
        <f ca="1">IF(IFERROR(VALUE(G61),G61)&lt;&gt;IFERROR(VALUE(F61),F61),"ERROR","")</f>
        <v/>
      </c>
    </row>
    <row r="62" spans="1:14" x14ac:dyDescent="0.35">
      <c r="A62">
        <f>A61+1</f>
        <v>25</v>
      </c>
      <c r="C62">
        <v>-1.2</v>
      </c>
      <c r="D62" t="s">
        <v>33</v>
      </c>
      <c r="E62">
        <v>25</v>
      </c>
      <c r="F62" s="4">
        <v>-1.2</v>
      </c>
      <c r="G62" s="5" t="str" cm="1">
        <f t="array" aca="1" ref="G62" ca="1">IFERROR(LEFT(C62,_xlfn.AGGREGATE(15,6,ROW(INDIRECT("1:"&amp;LEN(C62)+1))/(ISERROR(MID(C62&amp;" ",ROW(INDIRECT("1:"&amp;LEN(C62)+1)),1)*1)*(MID(C62&amp;" ",ROW(INDIRECT("1:"&amp;LEN(C62)+1)),1)&lt;&gt;".")*(MID(C62&amp;" ",ROW(INDIRECT("1:"&amp;LEN(C62)+1)),1)&lt;&gt;"-")),1)-1),C62)</f>
        <v>-1.2</v>
      </c>
      <c r="H62" t="str">
        <f>IF(ISNUMBER(SEARCH("easy",C62)),"easy",IF(ISNUMBER(SEARCH("medium",C62)),"medium",IF(ISNUMBER(SEARCH("moderate",C62)),"moderate",IF(ISNUMBER(SEARCH("hard",C62)),"hard",""))))</f>
        <v/>
      </c>
      <c r="I62" t="s">
        <v>115</v>
      </c>
      <c r="J62" s="3">
        <f>100+MOD(A62,10)</f>
        <v>105</v>
      </c>
      <c r="N62" s="1" t="str">
        <f ca="1">IF(IFERROR(VALUE(G62),G62)&lt;&gt;IFERROR(VALUE(F62),F62),"ERROR","")</f>
        <v/>
      </c>
    </row>
    <row r="63" spans="1:14" x14ac:dyDescent="0.35">
      <c r="A63">
        <f>A62+1</f>
        <v>26</v>
      </c>
      <c r="C63">
        <v>-5</v>
      </c>
      <c r="D63" t="s">
        <v>33</v>
      </c>
      <c r="E63">
        <v>26</v>
      </c>
      <c r="F63" s="4">
        <v>-5</v>
      </c>
      <c r="G63" s="5" t="str" cm="1">
        <f t="array" aca="1" ref="G63" ca="1">IFERROR(LEFT(C63,_xlfn.AGGREGATE(15,6,ROW(INDIRECT("1:"&amp;LEN(C63)+1))/(ISERROR(MID(C63&amp;" ",ROW(INDIRECT("1:"&amp;LEN(C63)+1)),1)*1)*(MID(C63&amp;" ",ROW(INDIRECT("1:"&amp;LEN(C63)+1)),1)&lt;&gt;".")*(MID(C63&amp;" ",ROW(INDIRECT("1:"&amp;LEN(C63)+1)),1)&lt;&gt;"-")),1)-1),C63)</f>
        <v>-5</v>
      </c>
      <c r="H63" t="str">
        <f>IF(ISNUMBER(SEARCH("easy",C63)),"easy",IF(ISNUMBER(SEARCH("medium",C63)),"medium",IF(ISNUMBER(SEARCH("moderate",C63)),"moderate",IF(ISNUMBER(SEARCH("hard",C63)),"hard",""))))</f>
        <v/>
      </c>
      <c r="I63" t="s">
        <v>115</v>
      </c>
      <c r="J63" s="3">
        <f>100+MOD(A63,10)</f>
        <v>106</v>
      </c>
      <c r="N63" s="1" t="str">
        <f ca="1">IF(IFERROR(VALUE(G63),G63)&lt;&gt;IFERROR(VALUE(F63),F63),"ERROR","")</f>
        <v/>
      </c>
    </row>
    <row r="64" spans="1:14" x14ac:dyDescent="0.35">
      <c r="A64">
        <f>A63+1</f>
        <v>27</v>
      </c>
      <c r="C64">
        <v>0.25</v>
      </c>
      <c r="D64" t="s">
        <v>34</v>
      </c>
      <c r="E64">
        <v>27</v>
      </c>
      <c r="F64" s="4">
        <v>0.25</v>
      </c>
      <c r="G64" s="5" t="str" cm="1">
        <f t="array" aca="1" ref="G64" ca="1">IFERROR(LEFT(C64,_xlfn.AGGREGATE(15,6,ROW(INDIRECT("1:"&amp;LEN(C64)+1))/(ISERROR(MID(C64&amp;" ",ROW(INDIRECT("1:"&amp;LEN(C64)+1)),1)*1)*(MID(C64&amp;" ",ROW(INDIRECT("1:"&amp;LEN(C64)+1)),1)&lt;&gt;".")*(MID(C64&amp;" ",ROW(INDIRECT("1:"&amp;LEN(C64)+1)),1)&lt;&gt;"-")),1)-1),C64)</f>
        <v>0.25</v>
      </c>
      <c r="H64" t="str">
        <f>IF(ISNUMBER(SEARCH("easy",C64)),"easy",IF(ISNUMBER(SEARCH("medium",C64)),"medium",IF(ISNUMBER(SEARCH("moderate",C64)),"moderate",IF(ISNUMBER(SEARCH("hard",C64)),"hard",""))))</f>
        <v/>
      </c>
      <c r="I64" t="s">
        <v>115</v>
      </c>
      <c r="J64" s="3">
        <f>100+MOD(A64,10)</f>
        <v>107</v>
      </c>
      <c r="N64" s="1" t="str">
        <f ca="1">IF(IFERROR(VALUE(G64),G64)&lt;&gt;IFERROR(VALUE(F64),F64),"ERROR","")</f>
        <v/>
      </c>
    </row>
    <row r="65" spans="1:14" x14ac:dyDescent="0.35">
      <c r="A65">
        <f>A64+1</f>
        <v>28</v>
      </c>
      <c r="C65">
        <v>3.5</v>
      </c>
      <c r="D65" t="s">
        <v>35</v>
      </c>
      <c r="E65">
        <v>28</v>
      </c>
      <c r="F65" s="4">
        <v>3.5</v>
      </c>
      <c r="G65" s="5" t="str" cm="1">
        <f t="array" aca="1" ref="G65" ca="1">IFERROR(LEFT(C65,_xlfn.AGGREGATE(15,6,ROW(INDIRECT("1:"&amp;LEN(C65)+1))/(ISERROR(MID(C65&amp;" ",ROW(INDIRECT("1:"&amp;LEN(C65)+1)),1)*1)*(MID(C65&amp;" ",ROW(INDIRECT("1:"&amp;LEN(C65)+1)),1)&lt;&gt;".")*(MID(C65&amp;" ",ROW(INDIRECT("1:"&amp;LEN(C65)+1)),1)&lt;&gt;"-")),1)-1),C65)</f>
        <v>3.5</v>
      </c>
      <c r="H65" t="str">
        <f>IF(ISNUMBER(SEARCH("easy",C65)),"easy",IF(ISNUMBER(SEARCH("medium",C65)),"medium",IF(ISNUMBER(SEARCH("moderate",C65)),"moderate",IF(ISNUMBER(SEARCH("hard",C65)),"hard",""))))</f>
        <v/>
      </c>
      <c r="I65" t="s">
        <v>115</v>
      </c>
      <c r="J65" s="3">
        <f>100+MOD(A65,10)</f>
        <v>108</v>
      </c>
      <c r="N65" s="1" t="str">
        <f ca="1">IF(IFERROR(VALUE(G65),G65)&lt;&gt;IFERROR(VALUE(F65),F65),"ERROR","")</f>
        <v/>
      </c>
    </row>
    <row r="66" spans="1:14" x14ac:dyDescent="0.35">
      <c r="A66">
        <f>A65+1</f>
        <v>29</v>
      </c>
      <c r="C66">
        <v>2.04</v>
      </c>
      <c r="D66" t="s">
        <v>9</v>
      </c>
      <c r="E66">
        <v>29</v>
      </c>
      <c r="F66" s="4">
        <v>2.04</v>
      </c>
      <c r="G66" s="5" t="str" cm="1">
        <f t="array" aca="1" ref="G66" ca="1">IFERROR(LEFT(C66,_xlfn.AGGREGATE(15,6,ROW(INDIRECT("1:"&amp;LEN(C66)+1))/(ISERROR(MID(C66&amp;" ",ROW(INDIRECT("1:"&amp;LEN(C66)+1)),1)*1)*(MID(C66&amp;" ",ROW(INDIRECT("1:"&amp;LEN(C66)+1)),1)&lt;&gt;".")*(MID(C66&amp;" ",ROW(INDIRECT("1:"&amp;LEN(C66)+1)),1)&lt;&gt;"-")),1)-1),C66)</f>
        <v>2.04</v>
      </c>
      <c r="H66" t="str">
        <f>IF(ISNUMBER(SEARCH("easy",C66)),"easy",IF(ISNUMBER(SEARCH("medium",C66)),"medium",IF(ISNUMBER(SEARCH("moderate",C66)),"moderate",IF(ISNUMBER(SEARCH("hard",C66)),"hard",""))))</f>
        <v/>
      </c>
      <c r="I66" t="s">
        <v>115</v>
      </c>
      <c r="J66" s="3">
        <f>100+MOD(A66,10)</f>
        <v>109</v>
      </c>
      <c r="N66" s="1" t="str">
        <f ca="1">IF(IFERROR(VALUE(G66),G66)&lt;&gt;IFERROR(VALUE(F66),F66),"ERROR","")</f>
        <v/>
      </c>
    </row>
    <row r="67" spans="1:14" x14ac:dyDescent="0.35">
      <c r="A67">
        <f>A66+1</f>
        <v>30</v>
      </c>
      <c r="C67">
        <v>2.56</v>
      </c>
      <c r="D67" t="s">
        <v>10</v>
      </c>
      <c r="E67">
        <v>30</v>
      </c>
      <c r="F67" s="4">
        <v>2.56</v>
      </c>
      <c r="G67" s="5" t="str" cm="1">
        <f t="array" aca="1" ref="G67" ca="1">IFERROR(LEFT(C67,_xlfn.AGGREGATE(15,6,ROW(INDIRECT("1:"&amp;LEN(C67)+1))/(ISERROR(MID(C67&amp;" ",ROW(INDIRECT("1:"&amp;LEN(C67)+1)),1)*1)*(MID(C67&amp;" ",ROW(INDIRECT("1:"&amp;LEN(C67)+1)),1)&lt;&gt;".")*(MID(C67&amp;" ",ROW(INDIRECT("1:"&amp;LEN(C67)+1)),1)&lt;&gt;"-")),1)-1),C67)</f>
        <v>2.56</v>
      </c>
      <c r="H67" t="str">
        <f>IF(ISNUMBER(SEARCH("easy",C67)),"easy",IF(ISNUMBER(SEARCH("medium",C67)),"medium",IF(ISNUMBER(SEARCH("moderate",C67)),"moderate",IF(ISNUMBER(SEARCH("hard",C67)),"hard",""))))</f>
        <v/>
      </c>
      <c r="I67" t="s">
        <v>115</v>
      </c>
      <c r="J67" s="3">
        <f>100+MOD(A67,10)</f>
        <v>100</v>
      </c>
      <c r="N67" s="1" t="str">
        <f ca="1">IF(IFERROR(VALUE(G67),G67)&lt;&gt;IFERROR(VALUE(F67),F67),"ERROR","")</f>
        <v/>
      </c>
    </row>
    <row r="68" spans="1:14" x14ac:dyDescent="0.35">
      <c r="A68">
        <f>A67+1</f>
        <v>31</v>
      </c>
      <c r="C68">
        <v>16</v>
      </c>
      <c r="D68" t="s">
        <v>11</v>
      </c>
      <c r="E68">
        <v>31</v>
      </c>
      <c r="F68" s="4">
        <v>16</v>
      </c>
      <c r="G68" s="5" t="str" cm="1">
        <f t="array" aca="1" ref="G68" ca="1">IFERROR(LEFT(C68,_xlfn.AGGREGATE(15,6,ROW(INDIRECT("1:"&amp;LEN(C68)+1))/(ISERROR(MID(C68&amp;" ",ROW(INDIRECT("1:"&amp;LEN(C68)+1)),1)*1)*(MID(C68&amp;" ",ROW(INDIRECT("1:"&amp;LEN(C68)+1)),1)&lt;&gt;".")*(MID(C68&amp;" ",ROW(INDIRECT("1:"&amp;LEN(C68)+1)),1)&lt;&gt;"-")),1)-1),C68)</f>
        <v>16</v>
      </c>
      <c r="H68" t="str">
        <f>IF(ISNUMBER(SEARCH("easy",C68)),"easy",IF(ISNUMBER(SEARCH("medium",C68)),"medium",IF(ISNUMBER(SEARCH("moderate",C68)),"moderate",IF(ISNUMBER(SEARCH("hard",C68)),"hard",""))))</f>
        <v/>
      </c>
      <c r="I68" t="s">
        <v>115</v>
      </c>
      <c r="J68" s="3">
        <f>100+MOD(A68,10)</f>
        <v>101</v>
      </c>
      <c r="N68" s="1" t="str">
        <f ca="1">IF(IFERROR(VALUE(G68),G68)&lt;&gt;IFERROR(VALUE(F68),F68),"ERROR","")</f>
        <v/>
      </c>
    </row>
    <row r="69" spans="1:14" x14ac:dyDescent="0.35">
      <c r="A69">
        <f>A68+1</f>
        <v>32</v>
      </c>
      <c r="C69">
        <v>1.33</v>
      </c>
      <c r="D69" t="s">
        <v>12</v>
      </c>
      <c r="E69">
        <v>32</v>
      </c>
      <c r="F69" s="4">
        <v>1.33</v>
      </c>
      <c r="G69" s="5" t="str" cm="1">
        <f t="array" aca="1" ref="G69" ca="1">IFERROR(LEFT(C69,_xlfn.AGGREGATE(15,6,ROW(INDIRECT("1:"&amp;LEN(C69)+1))/(ISERROR(MID(C69&amp;" ",ROW(INDIRECT("1:"&amp;LEN(C69)+1)),1)*1)*(MID(C69&amp;" ",ROW(INDIRECT("1:"&amp;LEN(C69)+1)),1)&lt;&gt;".")*(MID(C69&amp;" ",ROW(INDIRECT("1:"&amp;LEN(C69)+1)),1)&lt;&gt;"-")),1)-1),C69)</f>
        <v>1.33</v>
      </c>
      <c r="H69" t="str">
        <f>IF(ISNUMBER(SEARCH("easy",C69)),"easy",IF(ISNUMBER(SEARCH("medium",C69)),"medium",IF(ISNUMBER(SEARCH("moderate",C69)),"moderate",IF(ISNUMBER(SEARCH("hard",C69)),"hard",""))))</f>
        <v/>
      </c>
      <c r="I69" t="s">
        <v>115</v>
      </c>
      <c r="J69" s="3">
        <f>100+MOD(A69,10)</f>
        <v>102</v>
      </c>
      <c r="N69" s="1" t="str">
        <f ca="1">IF(IFERROR(VALUE(G69),G69)&lt;&gt;IFERROR(VALUE(F69),F69),"ERROR","")</f>
        <v/>
      </c>
    </row>
    <row r="70" spans="1:14" x14ac:dyDescent="0.35">
      <c r="A70">
        <f>A69+1</f>
        <v>33</v>
      </c>
      <c r="C70">
        <v>-1</v>
      </c>
      <c r="D70" t="s">
        <v>13</v>
      </c>
      <c r="E70">
        <v>33</v>
      </c>
      <c r="F70" s="4">
        <v>-1</v>
      </c>
      <c r="G70" s="5" t="str" cm="1">
        <f t="array" aca="1" ref="G70" ca="1">IFERROR(LEFT(C70,_xlfn.AGGREGATE(15,6,ROW(INDIRECT("1:"&amp;LEN(C70)+1))/(ISERROR(MID(C70&amp;" ",ROW(INDIRECT("1:"&amp;LEN(C70)+1)),1)*1)*(MID(C70&amp;" ",ROW(INDIRECT("1:"&amp;LEN(C70)+1)),1)&lt;&gt;".")*(MID(C70&amp;" ",ROW(INDIRECT("1:"&amp;LEN(C70)+1)),1)&lt;&gt;"-")),1)-1),C70)</f>
        <v>-1</v>
      </c>
      <c r="H70" t="str">
        <f>IF(ISNUMBER(SEARCH("easy",C70)),"easy",IF(ISNUMBER(SEARCH("medium",C70)),"medium",IF(ISNUMBER(SEARCH("moderate",C70)),"moderate",IF(ISNUMBER(SEARCH("hard",C70)),"hard",""))))</f>
        <v/>
      </c>
      <c r="I70" t="s">
        <v>115</v>
      </c>
      <c r="J70" s="3">
        <f>100+MOD(A70,10)</f>
        <v>103</v>
      </c>
      <c r="N70" s="1" t="str">
        <f ca="1">IF(IFERROR(VALUE(G70),G70)&lt;&gt;IFERROR(VALUE(F70),F70),"ERROR","")</f>
        <v/>
      </c>
    </row>
    <row r="71" spans="1:14" x14ac:dyDescent="0.35">
      <c r="A71">
        <f>A70+1</f>
        <v>34</v>
      </c>
      <c r="C71">
        <v>21</v>
      </c>
      <c r="D71" t="s">
        <v>14</v>
      </c>
      <c r="E71">
        <v>34</v>
      </c>
      <c r="F71" s="4">
        <v>21</v>
      </c>
      <c r="G71" s="5" t="str" cm="1">
        <f t="array" aca="1" ref="G71" ca="1">IFERROR(LEFT(C71,_xlfn.AGGREGATE(15,6,ROW(INDIRECT("1:"&amp;LEN(C71)+1))/(ISERROR(MID(C71&amp;" ",ROW(INDIRECT("1:"&amp;LEN(C71)+1)),1)*1)*(MID(C71&amp;" ",ROW(INDIRECT("1:"&amp;LEN(C71)+1)),1)&lt;&gt;".")*(MID(C71&amp;" ",ROW(INDIRECT("1:"&amp;LEN(C71)+1)),1)&lt;&gt;"-")),1)-1),C71)</f>
        <v>21</v>
      </c>
      <c r="H71" t="str">
        <f>IF(ISNUMBER(SEARCH("easy",C71)),"easy",IF(ISNUMBER(SEARCH("medium",C71)),"medium",IF(ISNUMBER(SEARCH("moderate",C71)),"moderate",IF(ISNUMBER(SEARCH("hard",C71)),"hard",""))))</f>
        <v/>
      </c>
      <c r="I71" t="s">
        <v>115</v>
      </c>
      <c r="J71" s="3">
        <f>100+MOD(A71,10)</f>
        <v>104</v>
      </c>
      <c r="N71" s="1" t="str">
        <f ca="1">IF(IFERROR(VALUE(G71),G71)&lt;&gt;IFERROR(VALUE(F71),F71),"ERROR","")</f>
        <v/>
      </c>
    </row>
    <row r="72" spans="1:14" x14ac:dyDescent="0.35">
      <c r="A72">
        <f>A71+1</f>
        <v>35</v>
      </c>
      <c r="C72">
        <v>10</v>
      </c>
      <c r="D72" t="s">
        <v>19</v>
      </c>
      <c r="E72">
        <v>25</v>
      </c>
      <c r="F72" s="4">
        <v>10</v>
      </c>
      <c r="G72" s="5" t="str" cm="1">
        <f t="array" aca="1" ref="G72" ca="1">IFERROR(LEFT(C72,_xlfn.AGGREGATE(15,6,ROW(INDIRECT("1:"&amp;LEN(C72)+1))/(ISERROR(MID(C72&amp;" ",ROW(INDIRECT("1:"&amp;LEN(C72)+1)),1)*1)*(MID(C72&amp;" ",ROW(INDIRECT("1:"&amp;LEN(C72)+1)),1)&lt;&gt;".")*(MID(C72&amp;" ",ROW(INDIRECT("1:"&amp;LEN(C72)+1)),1)&lt;&gt;"-")),1)-1),C72)</f>
        <v>10</v>
      </c>
      <c r="H72" t="str">
        <f>IF(ISNUMBER(SEARCH("easy",C72)),"easy",IF(ISNUMBER(SEARCH("medium",C72)),"medium",IF(ISNUMBER(SEARCH("moderate",C72)),"moderate",IF(ISNUMBER(SEARCH("hard",C72)),"hard",""))))</f>
        <v/>
      </c>
      <c r="I72" t="s">
        <v>115</v>
      </c>
      <c r="J72" s="3">
        <f>100+MOD(A72,10)</f>
        <v>105</v>
      </c>
      <c r="N72" s="1" t="str">
        <f ca="1">IF(IFERROR(VALUE(G72),G72)&lt;&gt;IFERROR(VALUE(F72),F72),"ERROR","")</f>
        <v/>
      </c>
    </row>
    <row r="73" spans="1:14" x14ac:dyDescent="0.35">
      <c r="A73">
        <f>A72+1</f>
        <v>36</v>
      </c>
      <c r="C73">
        <v>0.105</v>
      </c>
      <c r="D73" t="s">
        <v>47</v>
      </c>
      <c r="E73">
        <v>36</v>
      </c>
      <c r="F73" s="4">
        <v>0.105</v>
      </c>
      <c r="G73" s="5" t="str" cm="1">
        <f t="array" aca="1" ref="G73" ca="1">IFERROR(LEFT(C73,_xlfn.AGGREGATE(15,6,ROW(INDIRECT("1:"&amp;LEN(C73)+1))/(ISERROR(MID(C73&amp;" ",ROW(INDIRECT("1:"&amp;LEN(C73)+1)),1)*1)*(MID(C73&amp;" ",ROW(INDIRECT("1:"&amp;LEN(C73)+1)),1)&lt;&gt;".")*(MID(C73&amp;" ",ROW(INDIRECT("1:"&amp;LEN(C73)+1)),1)&lt;&gt;"-")),1)-1),C73)</f>
        <v>0.105</v>
      </c>
      <c r="H73" t="str">
        <f>IF(ISNUMBER(SEARCH("easy",C73)),"easy",IF(ISNUMBER(SEARCH("medium",C73)),"medium",IF(ISNUMBER(SEARCH("moderate",C73)),"moderate",IF(ISNUMBER(SEARCH("hard",C73)),"hard",""))))</f>
        <v/>
      </c>
      <c r="I73" t="s">
        <v>115</v>
      </c>
      <c r="J73" s="3">
        <f>100+MOD(A73,10)</f>
        <v>106</v>
      </c>
      <c r="N73" s="1" t="str">
        <f ca="1">IF(IFERROR(VALUE(G73),G73)&lt;&gt;IFERROR(VALUE(F73),F73),"ERROR","")</f>
        <v/>
      </c>
    </row>
    <row r="74" spans="1:14" x14ac:dyDescent="0.35">
      <c r="A74">
        <f>A73+1</f>
        <v>37</v>
      </c>
      <c r="C74">
        <v>9.6000000000000002E-2</v>
      </c>
      <c r="D74" t="s">
        <v>48</v>
      </c>
      <c r="E74">
        <v>37</v>
      </c>
      <c r="F74" s="4">
        <v>9.6000000000000002E-2</v>
      </c>
      <c r="G74" s="5" t="str" cm="1">
        <f t="array" aca="1" ref="G74" ca="1">IFERROR(LEFT(C74,_xlfn.AGGREGATE(15,6,ROW(INDIRECT("1:"&amp;LEN(C74)+1))/(ISERROR(MID(C74&amp;" ",ROW(INDIRECT("1:"&amp;LEN(C74)+1)),1)*1)*(MID(C74&amp;" ",ROW(INDIRECT("1:"&amp;LEN(C74)+1)),1)&lt;&gt;".")*(MID(C74&amp;" ",ROW(INDIRECT("1:"&amp;LEN(C74)+1)),1)&lt;&gt;"-")),1)-1),C74)</f>
        <v>0.096</v>
      </c>
      <c r="H74" t="str">
        <f>IF(ISNUMBER(SEARCH("easy",C74)),"easy",IF(ISNUMBER(SEARCH("medium",C74)),"medium",IF(ISNUMBER(SEARCH("moderate",C74)),"moderate",IF(ISNUMBER(SEARCH("hard",C74)),"hard",""))))</f>
        <v/>
      </c>
      <c r="I74" t="s">
        <v>115</v>
      </c>
      <c r="J74" s="3">
        <f>100+MOD(A74,10)</f>
        <v>107</v>
      </c>
      <c r="N74" s="1" t="str">
        <f ca="1">IF(IFERROR(VALUE(G74),G74)&lt;&gt;IFERROR(VALUE(F74),F74),"ERROR","")</f>
        <v/>
      </c>
    </row>
    <row r="75" spans="1:14" x14ac:dyDescent="0.35">
      <c r="A75">
        <f>A74+1</f>
        <v>38</v>
      </c>
      <c r="C75">
        <v>1.33</v>
      </c>
      <c r="D75" t="s">
        <v>49</v>
      </c>
      <c r="E75">
        <v>38</v>
      </c>
      <c r="F75" s="4">
        <v>1.33</v>
      </c>
      <c r="G75" s="5" t="str" cm="1">
        <f t="array" aca="1" ref="G75" ca="1">IFERROR(LEFT(C75,_xlfn.AGGREGATE(15,6,ROW(INDIRECT("1:"&amp;LEN(C75)+1))/(ISERROR(MID(C75&amp;" ",ROW(INDIRECT("1:"&amp;LEN(C75)+1)),1)*1)*(MID(C75&amp;" ",ROW(INDIRECT("1:"&amp;LEN(C75)+1)),1)&lt;&gt;".")*(MID(C75&amp;" ",ROW(INDIRECT("1:"&amp;LEN(C75)+1)),1)&lt;&gt;"-")),1)-1),C75)</f>
        <v>1.33</v>
      </c>
      <c r="H75" t="str">
        <f>IF(ISNUMBER(SEARCH("easy",C75)),"easy",IF(ISNUMBER(SEARCH("medium",C75)),"medium",IF(ISNUMBER(SEARCH("moderate",C75)),"moderate",IF(ISNUMBER(SEARCH("hard",C75)),"hard",""))))</f>
        <v/>
      </c>
      <c r="I75" t="s">
        <v>115</v>
      </c>
      <c r="J75" s="3">
        <f>100+MOD(A75,10)</f>
        <v>108</v>
      </c>
      <c r="N75" s="1" t="str">
        <f ca="1">IF(IFERROR(VALUE(G75),G75)&lt;&gt;IFERROR(VALUE(F75),F75),"ERROR","")</f>
        <v/>
      </c>
    </row>
    <row r="76" spans="1:14" x14ac:dyDescent="0.35">
      <c r="A76">
        <f>A75+1</f>
        <v>39</v>
      </c>
      <c r="C76">
        <v>942</v>
      </c>
      <c r="D76" t="s">
        <v>50</v>
      </c>
      <c r="E76">
        <v>39</v>
      </c>
      <c r="F76" s="4">
        <v>942</v>
      </c>
      <c r="G76" s="5" t="str" cm="1">
        <f t="array" aca="1" ref="G76" ca="1">IFERROR(LEFT(C76,_xlfn.AGGREGATE(15,6,ROW(INDIRECT("1:"&amp;LEN(C76)+1))/(ISERROR(MID(C76&amp;" ",ROW(INDIRECT("1:"&amp;LEN(C76)+1)),1)*1)*(MID(C76&amp;" ",ROW(INDIRECT("1:"&amp;LEN(C76)+1)),1)&lt;&gt;".")*(MID(C76&amp;" ",ROW(INDIRECT("1:"&amp;LEN(C76)+1)),1)&lt;&gt;"-")),1)-1),C76)</f>
        <v>942</v>
      </c>
      <c r="H76" t="str">
        <f>IF(ISNUMBER(SEARCH("easy",C76)),"easy",IF(ISNUMBER(SEARCH("medium",C76)),"medium",IF(ISNUMBER(SEARCH("moderate",C76)),"moderate",IF(ISNUMBER(SEARCH("hard",C76)),"hard",""))))</f>
        <v/>
      </c>
      <c r="I76" t="s">
        <v>115</v>
      </c>
      <c r="J76" s="3">
        <f>100+MOD(A76,10)</f>
        <v>109</v>
      </c>
      <c r="N76" s="1" t="str">
        <f ca="1">IF(IFERROR(VALUE(G76),G76)&lt;&gt;IFERROR(VALUE(F76),F76),"ERROR","")</f>
        <v/>
      </c>
    </row>
    <row r="77" spans="1:14" x14ac:dyDescent="0.35">
      <c r="A77">
        <f>A76+1</f>
        <v>40</v>
      </c>
      <c r="C77">
        <v>1.33</v>
      </c>
      <c r="D77" t="s">
        <v>51</v>
      </c>
      <c r="E77">
        <v>40</v>
      </c>
      <c r="F77" s="4">
        <v>1.33</v>
      </c>
      <c r="G77" s="5" t="str" cm="1">
        <f t="array" aca="1" ref="G77" ca="1">IFERROR(LEFT(C77,_xlfn.AGGREGATE(15,6,ROW(INDIRECT("1:"&amp;LEN(C77)+1))/(ISERROR(MID(C77&amp;" ",ROW(INDIRECT("1:"&amp;LEN(C77)+1)),1)*1)*(MID(C77&amp;" ",ROW(INDIRECT("1:"&amp;LEN(C77)+1)),1)&lt;&gt;".")*(MID(C77&amp;" ",ROW(INDIRECT("1:"&amp;LEN(C77)+1)),1)&lt;&gt;"-")),1)-1),C77)</f>
        <v>1.33</v>
      </c>
      <c r="H77" t="str">
        <f>IF(ISNUMBER(SEARCH("easy",C77)),"easy",IF(ISNUMBER(SEARCH("medium",C77)),"medium",IF(ISNUMBER(SEARCH("moderate",C77)),"moderate",IF(ISNUMBER(SEARCH("hard",C77)),"hard",""))))</f>
        <v/>
      </c>
      <c r="I77" t="s">
        <v>115</v>
      </c>
      <c r="J77" s="3">
        <f>100+MOD(A77,10)</f>
        <v>100</v>
      </c>
      <c r="N77" s="1" t="str">
        <f ca="1">IF(IFERROR(VALUE(G77),G77)&lt;&gt;IFERROR(VALUE(F77),F77),"ERROR","")</f>
        <v/>
      </c>
    </row>
    <row r="78" spans="1:14" x14ac:dyDescent="0.35">
      <c r="A78">
        <f>A77+1</f>
        <v>41</v>
      </c>
      <c r="C78">
        <v>8</v>
      </c>
      <c r="D78" t="s">
        <v>52</v>
      </c>
      <c r="E78">
        <v>41</v>
      </c>
      <c r="F78" s="4">
        <v>8</v>
      </c>
      <c r="G78" s="5" t="str" cm="1">
        <f t="array" aca="1" ref="G78" ca="1">IFERROR(LEFT(C78,_xlfn.AGGREGATE(15,6,ROW(INDIRECT("1:"&amp;LEN(C78)+1))/(ISERROR(MID(C78&amp;" ",ROW(INDIRECT("1:"&amp;LEN(C78)+1)),1)*1)*(MID(C78&amp;" ",ROW(INDIRECT("1:"&amp;LEN(C78)+1)),1)&lt;&gt;".")*(MID(C78&amp;" ",ROW(INDIRECT("1:"&amp;LEN(C78)+1)),1)&lt;&gt;"-")),1)-1),C78)</f>
        <v>8</v>
      </c>
      <c r="H78" t="str">
        <f>IF(ISNUMBER(SEARCH("easy",C78)),"easy",IF(ISNUMBER(SEARCH("medium",C78)),"medium",IF(ISNUMBER(SEARCH("moderate",C78)),"moderate",IF(ISNUMBER(SEARCH("hard",C78)),"hard",""))))</f>
        <v/>
      </c>
      <c r="I78" t="s">
        <v>115</v>
      </c>
      <c r="J78" s="3">
        <f>100+MOD(A78,10)</f>
        <v>101</v>
      </c>
      <c r="N78" s="1" t="str">
        <f ca="1">IF(IFERROR(VALUE(G78),G78)&lt;&gt;IFERROR(VALUE(F78),F78),"ERROR","")</f>
        <v/>
      </c>
    </row>
    <row r="79" spans="1:14" x14ac:dyDescent="0.35">
      <c r="A79">
        <f>A78+1</f>
        <v>42</v>
      </c>
      <c r="C79">
        <v>-10</v>
      </c>
      <c r="D79" t="s">
        <v>52</v>
      </c>
      <c r="E79">
        <v>42</v>
      </c>
      <c r="F79" s="4">
        <v>-10</v>
      </c>
      <c r="G79" s="5" t="str" cm="1">
        <f t="array" aca="1" ref="G79" ca="1">IFERROR(LEFT(C79,_xlfn.AGGREGATE(15,6,ROW(INDIRECT("1:"&amp;LEN(C79)+1))/(ISERROR(MID(C79&amp;" ",ROW(INDIRECT("1:"&amp;LEN(C79)+1)),1)*1)*(MID(C79&amp;" ",ROW(INDIRECT("1:"&amp;LEN(C79)+1)),1)&lt;&gt;".")*(MID(C79&amp;" ",ROW(INDIRECT("1:"&amp;LEN(C79)+1)),1)&lt;&gt;"-")),1)-1),C79)</f>
        <v>-10</v>
      </c>
      <c r="H79" t="str">
        <f>IF(ISNUMBER(SEARCH("easy",C79)),"easy",IF(ISNUMBER(SEARCH("medium",C79)),"medium",IF(ISNUMBER(SEARCH("moderate",C79)),"moderate",IF(ISNUMBER(SEARCH("hard",C79)),"hard",""))))</f>
        <v/>
      </c>
      <c r="I79" t="s">
        <v>115</v>
      </c>
      <c r="J79" s="3">
        <f>100+MOD(A79,10)</f>
        <v>102</v>
      </c>
      <c r="N79" s="1" t="str">
        <f ca="1">IF(IFERROR(VALUE(G79),G79)&lt;&gt;IFERROR(VALUE(F79),F79),"ERROR","")</f>
        <v/>
      </c>
    </row>
    <row r="80" spans="1:14" x14ac:dyDescent="0.35">
      <c r="A80">
        <f>A79+1</f>
        <v>43</v>
      </c>
      <c r="C80">
        <v>3</v>
      </c>
      <c r="D80" t="s">
        <v>53</v>
      </c>
      <c r="E80">
        <v>43</v>
      </c>
      <c r="F80" s="4">
        <v>3</v>
      </c>
      <c r="G80" s="5" t="str" cm="1">
        <f t="array" aca="1" ref="G80" ca="1">IFERROR(LEFT(C80,_xlfn.AGGREGATE(15,6,ROW(INDIRECT("1:"&amp;LEN(C80)+1))/(ISERROR(MID(C80&amp;" ",ROW(INDIRECT("1:"&amp;LEN(C80)+1)),1)*1)*(MID(C80&amp;" ",ROW(INDIRECT("1:"&amp;LEN(C80)+1)),1)&lt;&gt;".")*(MID(C80&amp;" ",ROW(INDIRECT("1:"&amp;LEN(C80)+1)),1)&lt;&gt;"-")),1)-1),C80)</f>
        <v>3</v>
      </c>
      <c r="H80" t="str">
        <f>IF(ISNUMBER(SEARCH("easy",C80)),"easy",IF(ISNUMBER(SEARCH("medium",C80)),"medium",IF(ISNUMBER(SEARCH("moderate",C80)),"moderate",IF(ISNUMBER(SEARCH("hard",C80)),"hard",""))))</f>
        <v/>
      </c>
      <c r="I80" t="s">
        <v>115</v>
      </c>
      <c r="J80" s="3">
        <f>100+MOD(A80,10)</f>
        <v>103</v>
      </c>
      <c r="N80" s="1" t="str">
        <f ca="1">IF(IFERROR(VALUE(G80),G80)&lt;&gt;IFERROR(VALUE(F80),F80),"ERROR","")</f>
        <v/>
      </c>
    </row>
    <row r="81" spans="1:14" x14ac:dyDescent="0.35">
      <c r="A81">
        <f>A80+1</f>
        <v>44</v>
      </c>
      <c r="C81">
        <v>6</v>
      </c>
      <c r="D81" t="s">
        <v>54</v>
      </c>
      <c r="E81">
        <v>44</v>
      </c>
      <c r="F81" s="4">
        <v>6</v>
      </c>
      <c r="G81" s="5" t="str" cm="1">
        <f t="array" aca="1" ref="G81" ca="1">IFERROR(LEFT(C81,_xlfn.AGGREGATE(15,6,ROW(INDIRECT("1:"&amp;LEN(C81)+1))/(ISERROR(MID(C81&amp;" ",ROW(INDIRECT("1:"&amp;LEN(C81)+1)),1)*1)*(MID(C81&amp;" ",ROW(INDIRECT("1:"&amp;LEN(C81)+1)),1)&lt;&gt;".")*(MID(C81&amp;" ",ROW(INDIRECT("1:"&amp;LEN(C81)+1)),1)&lt;&gt;"-")),1)-1),C81)</f>
        <v>6</v>
      </c>
      <c r="H81" t="str">
        <f>IF(ISNUMBER(SEARCH("easy",C81)),"easy",IF(ISNUMBER(SEARCH("medium",C81)),"medium",IF(ISNUMBER(SEARCH("moderate",C81)),"moderate",IF(ISNUMBER(SEARCH("hard",C81)),"hard",""))))</f>
        <v/>
      </c>
      <c r="I81" t="s">
        <v>115</v>
      </c>
      <c r="J81" s="3">
        <f>100+MOD(A81,10)</f>
        <v>104</v>
      </c>
      <c r="N81" s="1" t="str">
        <f ca="1">IF(IFERROR(VALUE(G81),G81)&lt;&gt;IFERROR(VALUE(F81),F81),"ERROR","")</f>
        <v/>
      </c>
    </row>
    <row r="82" spans="1:14" x14ac:dyDescent="0.35">
      <c r="A82">
        <f>A81+1</f>
        <v>45</v>
      </c>
      <c r="C82">
        <v>3</v>
      </c>
      <c r="D82" t="s">
        <v>55</v>
      </c>
      <c r="E82">
        <v>45</v>
      </c>
      <c r="F82" s="4">
        <v>3</v>
      </c>
      <c r="G82" s="5" t="str" cm="1">
        <f t="array" aca="1" ref="G82" ca="1">IFERROR(LEFT(C82,_xlfn.AGGREGATE(15,6,ROW(INDIRECT("1:"&amp;LEN(C82)+1))/(ISERROR(MID(C82&amp;" ",ROW(INDIRECT("1:"&amp;LEN(C82)+1)),1)*1)*(MID(C82&amp;" ",ROW(INDIRECT("1:"&amp;LEN(C82)+1)),1)&lt;&gt;".")*(MID(C82&amp;" ",ROW(INDIRECT("1:"&amp;LEN(C82)+1)),1)&lt;&gt;"-")),1)-1),C82)</f>
        <v>3</v>
      </c>
      <c r="H82" t="str">
        <f>IF(ISNUMBER(SEARCH("easy",C82)),"easy",IF(ISNUMBER(SEARCH("medium",C82)),"medium",IF(ISNUMBER(SEARCH("moderate",C82)),"moderate",IF(ISNUMBER(SEARCH("hard",C82)),"hard",""))))</f>
        <v/>
      </c>
      <c r="I82" t="s">
        <v>115</v>
      </c>
      <c r="J82" s="3">
        <f>100+MOD(A82,10)</f>
        <v>105</v>
      </c>
      <c r="N82" s="1" t="str">
        <f ca="1">IF(IFERROR(VALUE(G82),G82)&lt;&gt;IFERROR(VALUE(F82),F82),"ERROR","")</f>
        <v/>
      </c>
    </row>
    <row r="83" spans="1:14" x14ac:dyDescent="0.35">
      <c r="A83">
        <f>A82+1</f>
        <v>46</v>
      </c>
      <c r="C83">
        <v>1.75</v>
      </c>
      <c r="D83" t="s">
        <v>56</v>
      </c>
      <c r="E83">
        <v>46</v>
      </c>
      <c r="F83" s="4">
        <v>1.75</v>
      </c>
      <c r="G83" s="5" t="str" cm="1">
        <f t="array" aca="1" ref="G83" ca="1">IFERROR(LEFT(C83,_xlfn.AGGREGATE(15,6,ROW(INDIRECT("1:"&amp;LEN(C83)+1))/(ISERROR(MID(C83&amp;" ",ROW(INDIRECT("1:"&amp;LEN(C83)+1)),1)*1)*(MID(C83&amp;" ",ROW(INDIRECT("1:"&amp;LEN(C83)+1)),1)&lt;&gt;".")*(MID(C83&amp;" ",ROW(INDIRECT("1:"&amp;LEN(C83)+1)),1)&lt;&gt;"-")),1)-1),C83)</f>
        <v>1.75</v>
      </c>
      <c r="H83" t="str">
        <f>IF(ISNUMBER(SEARCH("easy",C83)),"easy",IF(ISNUMBER(SEARCH("medium",C83)),"medium",IF(ISNUMBER(SEARCH("moderate",C83)),"moderate",IF(ISNUMBER(SEARCH("hard",C83)),"hard",""))))</f>
        <v/>
      </c>
      <c r="I83" t="s">
        <v>115</v>
      </c>
      <c r="J83" s="3">
        <f>100+MOD(A83,10)</f>
        <v>106</v>
      </c>
      <c r="N83" s="1" t="str">
        <f ca="1">IF(IFERROR(VALUE(G83),G83)&lt;&gt;IFERROR(VALUE(F83),F83),"ERROR","")</f>
        <v/>
      </c>
    </row>
    <row r="84" spans="1:14" x14ac:dyDescent="0.35">
      <c r="A84">
        <f>A83+1</f>
        <v>47</v>
      </c>
      <c r="C84">
        <v>45</v>
      </c>
      <c r="D84" t="s">
        <v>57</v>
      </c>
      <c r="E84">
        <v>47</v>
      </c>
      <c r="F84" s="4">
        <v>45</v>
      </c>
      <c r="G84" s="5" t="str" cm="1">
        <f t="array" aca="1" ref="G84" ca="1">IFERROR(LEFT(C84,_xlfn.AGGREGATE(15,6,ROW(INDIRECT("1:"&amp;LEN(C84)+1))/(ISERROR(MID(C84&amp;" ",ROW(INDIRECT("1:"&amp;LEN(C84)+1)),1)*1)*(MID(C84&amp;" ",ROW(INDIRECT("1:"&amp;LEN(C84)+1)),1)&lt;&gt;".")*(MID(C84&amp;" ",ROW(INDIRECT("1:"&amp;LEN(C84)+1)),1)&lt;&gt;"-")),1)-1),C84)</f>
        <v>45</v>
      </c>
      <c r="H84" t="str">
        <f>IF(ISNUMBER(SEARCH("easy",C84)),"easy",IF(ISNUMBER(SEARCH("medium",C84)),"medium",IF(ISNUMBER(SEARCH("moderate",C84)),"moderate",IF(ISNUMBER(SEARCH("hard",C84)),"hard",""))))</f>
        <v/>
      </c>
      <c r="I84" t="s">
        <v>115</v>
      </c>
      <c r="J84" s="3">
        <f>100+MOD(A84,10)</f>
        <v>107</v>
      </c>
      <c r="N84" s="1" t="str">
        <f ca="1">IF(IFERROR(VALUE(G84),G84)&lt;&gt;IFERROR(VALUE(F84),F84),"ERROR","")</f>
        <v/>
      </c>
    </row>
    <row r="85" spans="1:14" x14ac:dyDescent="0.35">
      <c r="A85">
        <f>A84+1</f>
        <v>48</v>
      </c>
      <c r="C85">
        <v>2.25</v>
      </c>
      <c r="D85" t="s">
        <v>58</v>
      </c>
      <c r="E85">
        <v>48</v>
      </c>
      <c r="F85" s="4">
        <v>2.25</v>
      </c>
      <c r="G85" s="5" t="str" cm="1">
        <f t="array" aca="1" ref="G85" ca="1">IFERROR(LEFT(C85,_xlfn.AGGREGATE(15,6,ROW(INDIRECT("1:"&amp;LEN(C85)+1))/(ISERROR(MID(C85&amp;" ",ROW(INDIRECT("1:"&amp;LEN(C85)+1)),1)*1)*(MID(C85&amp;" ",ROW(INDIRECT("1:"&amp;LEN(C85)+1)),1)&lt;&gt;".")*(MID(C85&amp;" ",ROW(INDIRECT("1:"&amp;LEN(C85)+1)),1)&lt;&gt;"-")),1)-1),C85)</f>
        <v>2.25</v>
      </c>
      <c r="H85" t="str">
        <f>IF(ISNUMBER(SEARCH("easy",C85)),"easy",IF(ISNUMBER(SEARCH("medium",C85)),"medium",IF(ISNUMBER(SEARCH("moderate",C85)),"moderate",IF(ISNUMBER(SEARCH("hard",C85)),"hard",""))))</f>
        <v/>
      </c>
      <c r="I85" t="s">
        <v>115</v>
      </c>
      <c r="J85" s="3">
        <f>100+MOD(A85,10)</f>
        <v>108</v>
      </c>
      <c r="N85" s="1" t="str">
        <f ca="1">IF(IFERROR(VALUE(G85),G85)&lt;&gt;IFERROR(VALUE(F85),F85),"ERROR","")</f>
        <v/>
      </c>
    </row>
    <row r="86" spans="1:14" x14ac:dyDescent="0.35">
      <c r="A86">
        <f>A85+1</f>
        <v>49</v>
      </c>
      <c r="C86">
        <v>3</v>
      </c>
      <c r="D86" t="s">
        <v>59</v>
      </c>
      <c r="E86">
        <v>49</v>
      </c>
      <c r="F86" s="4">
        <v>3</v>
      </c>
      <c r="G86" s="5" t="str" cm="1">
        <f t="array" aca="1" ref="G86" ca="1">IFERROR(LEFT(C86,_xlfn.AGGREGATE(15,6,ROW(INDIRECT("1:"&amp;LEN(C86)+1))/(ISERROR(MID(C86&amp;" ",ROW(INDIRECT("1:"&amp;LEN(C86)+1)),1)*1)*(MID(C86&amp;" ",ROW(INDIRECT("1:"&amp;LEN(C86)+1)),1)&lt;&gt;".")*(MID(C86&amp;" ",ROW(INDIRECT("1:"&amp;LEN(C86)+1)),1)&lt;&gt;"-")),1)-1),C86)</f>
        <v>3</v>
      </c>
      <c r="H86" t="str">
        <f>IF(ISNUMBER(SEARCH("easy",C86)),"easy",IF(ISNUMBER(SEARCH("medium",C86)),"medium",IF(ISNUMBER(SEARCH("moderate",C86)),"moderate",IF(ISNUMBER(SEARCH("hard",C86)),"hard",""))))</f>
        <v/>
      </c>
      <c r="I86" t="s">
        <v>115</v>
      </c>
      <c r="J86" s="3">
        <f>100+MOD(A86,10)</f>
        <v>109</v>
      </c>
      <c r="N86" s="1" t="str">
        <f ca="1">IF(IFERROR(VALUE(G86),G86)&lt;&gt;IFERROR(VALUE(F86),F86),"ERROR","")</f>
        <v/>
      </c>
    </row>
    <row r="87" spans="1:14" x14ac:dyDescent="0.35">
      <c r="A87">
        <f>A86+1</f>
        <v>50</v>
      </c>
      <c r="C87">
        <v>-7.4099999999999999E-2</v>
      </c>
      <c r="D87" t="s">
        <v>60</v>
      </c>
      <c r="E87">
        <v>50</v>
      </c>
      <c r="F87" s="4">
        <v>-7.4099999999999999E-2</v>
      </c>
      <c r="G87" s="5" t="str" cm="1">
        <f t="array" aca="1" ref="G87" ca="1">IFERROR(LEFT(C87,_xlfn.AGGREGATE(15,6,ROW(INDIRECT("1:"&amp;LEN(C87)+1))/(ISERROR(MID(C87&amp;" ",ROW(INDIRECT("1:"&amp;LEN(C87)+1)),1)*1)*(MID(C87&amp;" ",ROW(INDIRECT("1:"&amp;LEN(C87)+1)),1)&lt;&gt;".")*(MID(C87&amp;" ",ROW(INDIRECT("1:"&amp;LEN(C87)+1)),1)&lt;&gt;"-")),1)-1),C87)</f>
        <v>-0.0741</v>
      </c>
      <c r="H87" t="str">
        <f>IF(ISNUMBER(SEARCH("easy",C87)),"easy",IF(ISNUMBER(SEARCH("medium",C87)),"medium",IF(ISNUMBER(SEARCH("moderate",C87)),"moderate",IF(ISNUMBER(SEARCH("hard",C87)),"hard",""))))</f>
        <v/>
      </c>
      <c r="I87" t="s">
        <v>115</v>
      </c>
      <c r="J87" s="3">
        <f>100+MOD(A87,10)</f>
        <v>100</v>
      </c>
      <c r="N87" s="1" t="str">
        <f ca="1">IF(IFERROR(VALUE(G87),G87)&lt;&gt;IFERROR(VALUE(F87),F87),"ERROR","")</f>
        <v/>
      </c>
    </row>
    <row r="88" spans="1:14" x14ac:dyDescent="0.35">
      <c r="A88">
        <f>A87+1</f>
        <v>51</v>
      </c>
      <c r="C88">
        <v>13</v>
      </c>
      <c r="D88" t="s">
        <v>61</v>
      </c>
      <c r="E88">
        <v>51</v>
      </c>
      <c r="F88" s="4">
        <v>13</v>
      </c>
      <c r="G88" s="5" t="str" cm="1">
        <f t="array" aca="1" ref="G88" ca="1">IFERROR(LEFT(C88,_xlfn.AGGREGATE(15,6,ROW(INDIRECT("1:"&amp;LEN(C88)+1))/(ISERROR(MID(C88&amp;" ",ROW(INDIRECT("1:"&amp;LEN(C88)+1)),1)*1)*(MID(C88&amp;" ",ROW(INDIRECT("1:"&amp;LEN(C88)+1)),1)&lt;&gt;".")*(MID(C88&amp;" ",ROW(INDIRECT("1:"&amp;LEN(C88)+1)),1)&lt;&gt;"-")),1)-1),C88)</f>
        <v>13</v>
      </c>
      <c r="H88" t="str">
        <f>IF(ISNUMBER(SEARCH("easy",C88)),"easy",IF(ISNUMBER(SEARCH("medium",C88)),"medium",IF(ISNUMBER(SEARCH("moderate",C88)),"moderate",IF(ISNUMBER(SEARCH("hard",C88)),"hard",""))))</f>
        <v/>
      </c>
      <c r="I88" t="s">
        <v>115</v>
      </c>
      <c r="J88" s="3">
        <f>100+MOD(A88,10)</f>
        <v>101</v>
      </c>
      <c r="N88" s="1" t="str">
        <f ca="1">IF(IFERROR(VALUE(G88),G88)&lt;&gt;IFERROR(VALUE(F88),F88),"ERROR","")</f>
        <v/>
      </c>
    </row>
    <row r="89" spans="1:14" x14ac:dyDescent="0.35">
      <c r="A89">
        <f>A88+1</f>
        <v>52</v>
      </c>
      <c r="C89">
        <v>13</v>
      </c>
      <c r="D89" t="s">
        <v>63</v>
      </c>
      <c r="E89">
        <v>52</v>
      </c>
      <c r="F89" s="4">
        <v>13</v>
      </c>
      <c r="G89" s="5" t="str" cm="1">
        <f t="array" aca="1" ref="G89" ca="1">IFERROR(LEFT(C89,_xlfn.AGGREGATE(15,6,ROW(INDIRECT("1:"&amp;LEN(C89)+1))/(ISERROR(MID(C89&amp;" ",ROW(INDIRECT("1:"&amp;LEN(C89)+1)),1)*1)*(MID(C89&amp;" ",ROW(INDIRECT("1:"&amp;LEN(C89)+1)),1)&lt;&gt;".")*(MID(C89&amp;" ",ROW(INDIRECT("1:"&amp;LEN(C89)+1)),1)&lt;&gt;"-")),1)-1),C89)</f>
        <v>13</v>
      </c>
      <c r="H89" t="str">
        <f>IF(ISNUMBER(SEARCH("easy",C89)),"easy",IF(ISNUMBER(SEARCH("medium",C89)),"medium",IF(ISNUMBER(SEARCH("moderate",C89)),"moderate",IF(ISNUMBER(SEARCH("hard",C89)),"hard",""))))</f>
        <v/>
      </c>
      <c r="I89" t="s">
        <v>115</v>
      </c>
      <c r="J89" s="3">
        <f>100+MOD(A89,10)</f>
        <v>102</v>
      </c>
      <c r="N89" s="1" t="str">
        <f ca="1">IF(IFERROR(VALUE(G89),G89)&lt;&gt;IFERROR(VALUE(F89),F89),"ERROR","")</f>
        <v/>
      </c>
    </row>
    <row r="90" spans="1:14" x14ac:dyDescent="0.35">
      <c r="A90">
        <f>A89+1</f>
        <v>53</v>
      </c>
      <c r="C90">
        <v>20</v>
      </c>
      <c r="D90" t="s">
        <v>64</v>
      </c>
      <c r="E90">
        <v>53</v>
      </c>
      <c r="F90" s="4">
        <v>20</v>
      </c>
      <c r="G90" s="5" t="str" cm="1">
        <f t="array" aca="1" ref="G90" ca="1">IFERROR(LEFT(C90,_xlfn.AGGREGATE(15,6,ROW(INDIRECT("1:"&amp;LEN(C90)+1))/(ISERROR(MID(C90&amp;" ",ROW(INDIRECT("1:"&amp;LEN(C90)+1)),1)*1)*(MID(C90&amp;" ",ROW(INDIRECT("1:"&amp;LEN(C90)+1)),1)&lt;&gt;".")*(MID(C90&amp;" ",ROW(INDIRECT("1:"&amp;LEN(C90)+1)),1)&lt;&gt;"-")),1)-1),C90)</f>
        <v>20</v>
      </c>
      <c r="H90" t="str">
        <f>IF(ISNUMBER(SEARCH("easy",C90)),"easy",IF(ISNUMBER(SEARCH("medium",C90)),"medium",IF(ISNUMBER(SEARCH("moderate",C90)),"moderate",IF(ISNUMBER(SEARCH("hard",C90)),"hard",""))))</f>
        <v/>
      </c>
      <c r="I90" t="s">
        <v>115</v>
      </c>
      <c r="J90" s="3">
        <f>100+MOD(A90,10)</f>
        <v>103</v>
      </c>
      <c r="N90" s="1" t="str">
        <f ca="1">IF(IFERROR(VALUE(G90),G90)&lt;&gt;IFERROR(VALUE(F90),F90),"ERROR","")</f>
        <v/>
      </c>
    </row>
    <row r="91" spans="1:14" x14ac:dyDescent="0.35">
      <c r="A91">
        <f>A90+1</f>
        <v>54</v>
      </c>
      <c r="C91">
        <v>11</v>
      </c>
      <c r="D91" t="s">
        <v>65</v>
      </c>
      <c r="E91">
        <v>54</v>
      </c>
      <c r="F91" s="4">
        <v>11</v>
      </c>
      <c r="G91" s="5" t="str" cm="1">
        <f t="array" aca="1" ref="G91" ca="1">IFERROR(LEFT(C91,_xlfn.AGGREGATE(15,6,ROW(INDIRECT("1:"&amp;LEN(C91)+1))/(ISERROR(MID(C91&amp;" ",ROW(INDIRECT("1:"&amp;LEN(C91)+1)),1)*1)*(MID(C91&amp;" ",ROW(INDIRECT("1:"&amp;LEN(C91)+1)),1)&lt;&gt;".")*(MID(C91&amp;" ",ROW(INDIRECT("1:"&amp;LEN(C91)+1)),1)&lt;&gt;"-")),1)-1),C91)</f>
        <v>11</v>
      </c>
      <c r="H91" t="str">
        <f>IF(ISNUMBER(SEARCH("easy",C91)),"easy",IF(ISNUMBER(SEARCH("medium",C91)),"medium",IF(ISNUMBER(SEARCH("moderate",C91)),"moderate",IF(ISNUMBER(SEARCH("hard",C91)),"hard",""))))</f>
        <v/>
      </c>
      <c r="I91" t="s">
        <v>115</v>
      </c>
      <c r="J91" s="3">
        <f>100+MOD(A91,10)</f>
        <v>104</v>
      </c>
      <c r="N91" s="1" t="str">
        <f ca="1">IF(IFERROR(VALUE(G91),G91)&lt;&gt;IFERROR(VALUE(F91),F91),"ERROR","")</f>
        <v/>
      </c>
    </row>
    <row r="92" spans="1:14" x14ac:dyDescent="0.35">
      <c r="A92">
        <f>A91+1</f>
        <v>55</v>
      </c>
      <c r="C92">
        <v>-1.33</v>
      </c>
      <c r="D92" t="s">
        <v>66</v>
      </c>
      <c r="E92">
        <v>55</v>
      </c>
      <c r="F92" s="4">
        <v>-1.33</v>
      </c>
      <c r="G92" s="5" t="str" cm="1">
        <f t="array" aca="1" ref="G92" ca="1">IFERROR(LEFT(C92,_xlfn.AGGREGATE(15,6,ROW(INDIRECT("1:"&amp;LEN(C92)+1))/(ISERROR(MID(C92&amp;" ",ROW(INDIRECT("1:"&amp;LEN(C92)+1)),1)*1)*(MID(C92&amp;" ",ROW(INDIRECT("1:"&amp;LEN(C92)+1)),1)&lt;&gt;".")*(MID(C92&amp;" ",ROW(INDIRECT("1:"&amp;LEN(C92)+1)),1)&lt;&gt;"-")),1)-1),C92)</f>
        <v>-1.33</v>
      </c>
      <c r="H92" t="str">
        <f>IF(ISNUMBER(SEARCH("easy",C92)),"easy",IF(ISNUMBER(SEARCH("medium",C92)),"medium",IF(ISNUMBER(SEARCH("moderate",C92)),"moderate",IF(ISNUMBER(SEARCH("hard",C92)),"hard",""))))</f>
        <v/>
      </c>
      <c r="I92" t="s">
        <v>115</v>
      </c>
      <c r="J92" s="3">
        <f>100+MOD(A92,10)</f>
        <v>105</v>
      </c>
      <c r="N92" s="1" t="str">
        <f ca="1">IF(IFERROR(VALUE(G92),G92)&lt;&gt;IFERROR(VALUE(F92),F92),"ERROR","")</f>
        <v/>
      </c>
    </row>
    <row r="93" spans="1:14" x14ac:dyDescent="0.35">
      <c r="A93">
        <f>A92+1</f>
        <v>56</v>
      </c>
      <c r="C93">
        <v>2.5</v>
      </c>
      <c r="D93" t="s">
        <v>67</v>
      </c>
      <c r="E93">
        <v>56</v>
      </c>
      <c r="F93" s="4">
        <v>2.5</v>
      </c>
      <c r="G93" s="5" t="str" cm="1">
        <f t="array" aca="1" ref="G93" ca="1">IFERROR(LEFT(C93,_xlfn.AGGREGATE(15,6,ROW(INDIRECT("1:"&amp;LEN(C93)+1))/(ISERROR(MID(C93&amp;" ",ROW(INDIRECT("1:"&amp;LEN(C93)+1)),1)*1)*(MID(C93&amp;" ",ROW(INDIRECT("1:"&amp;LEN(C93)+1)),1)&lt;&gt;".")*(MID(C93&amp;" ",ROW(INDIRECT("1:"&amp;LEN(C93)+1)),1)&lt;&gt;"-")),1)-1),C93)</f>
        <v>2.5</v>
      </c>
      <c r="H93" t="str">
        <f>IF(ISNUMBER(SEARCH("easy",C93)),"easy",IF(ISNUMBER(SEARCH("medium",C93)),"medium",IF(ISNUMBER(SEARCH("moderate",C93)),"moderate",IF(ISNUMBER(SEARCH("hard",C93)),"hard",""))))</f>
        <v/>
      </c>
      <c r="I93" t="s">
        <v>115</v>
      </c>
      <c r="J93" s="3">
        <f>100+MOD(A93,10)</f>
        <v>106</v>
      </c>
      <c r="N93" s="1" t="str">
        <f ca="1">IF(IFERROR(VALUE(G93),G93)&lt;&gt;IFERROR(VALUE(F93),F93),"ERROR","")</f>
        <v/>
      </c>
    </row>
    <row r="94" spans="1:14" x14ac:dyDescent="0.35">
      <c r="A94">
        <f>A93+1</f>
        <v>57</v>
      </c>
      <c r="C94">
        <v>7.35</v>
      </c>
      <c r="D94" t="s">
        <v>68</v>
      </c>
      <c r="E94">
        <v>57</v>
      </c>
      <c r="F94" s="4">
        <v>7.35</v>
      </c>
      <c r="G94" s="5" t="str" cm="1">
        <f t="array" aca="1" ref="G94" ca="1">IFERROR(LEFT(C94,_xlfn.AGGREGATE(15,6,ROW(INDIRECT("1:"&amp;LEN(C94)+1))/(ISERROR(MID(C94&amp;" ",ROW(INDIRECT("1:"&amp;LEN(C94)+1)),1)*1)*(MID(C94&amp;" ",ROW(INDIRECT("1:"&amp;LEN(C94)+1)),1)&lt;&gt;".")*(MID(C94&amp;" ",ROW(INDIRECT("1:"&amp;LEN(C94)+1)),1)&lt;&gt;"-")),1)-1),C94)</f>
        <v>7.35</v>
      </c>
      <c r="H94" t="str">
        <f>IF(ISNUMBER(SEARCH("easy",C94)),"easy",IF(ISNUMBER(SEARCH("medium",C94)),"medium",IF(ISNUMBER(SEARCH("moderate",C94)),"moderate",IF(ISNUMBER(SEARCH("hard",C94)),"hard",""))))</f>
        <v/>
      </c>
      <c r="I94" t="s">
        <v>115</v>
      </c>
      <c r="J94" s="3">
        <f>100+MOD(A94,10)</f>
        <v>107</v>
      </c>
      <c r="N94" s="1" t="str">
        <f ca="1">IF(IFERROR(VALUE(G94),G94)&lt;&gt;IFERROR(VALUE(F94),F94),"ERROR","")</f>
        <v/>
      </c>
    </row>
    <row r="95" spans="1:14" x14ac:dyDescent="0.35">
      <c r="A95">
        <f>A94+1</f>
        <v>58</v>
      </c>
      <c r="C95">
        <v>30.5</v>
      </c>
      <c r="D95" t="s">
        <v>69</v>
      </c>
      <c r="E95">
        <v>58</v>
      </c>
      <c r="F95" s="4">
        <v>30.5</v>
      </c>
      <c r="G95" s="5" t="str" cm="1">
        <f t="array" aca="1" ref="G95" ca="1">IFERROR(LEFT(C95,_xlfn.AGGREGATE(15,6,ROW(INDIRECT("1:"&amp;LEN(C95)+1))/(ISERROR(MID(C95&amp;" ",ROW(INDIRECT("1:"&amp;LEN(C95)+1)),1)*1)*(MID(C95&amp;" ",ROW(INDIRECT("1:"&amp;LEN(C95)+1)),1)&lt;&gt;".")*(MID(C95&amp;" ",ROW(INDIRECT("1:"&amp;LEN(C95)+1)),1)&lt;&gt;"-")),1)-1),C95)</f>
        <v>30.5</v>
      </c>
      <c r="H95" t="str">
        <f>IF(ISNUMBER(SEARCH("easy",C95)),"easy",IF(ISNUMBER(SEARCH("medium",C95)),"medium",IF(ISNUMBER(SEARCH("moderate",C95)),"moderate",IF(ISNUMBER(SEARCH("hard",C95)),"hard",""))))</f>
        <v/>
      </c>
      <c r="I95" t="s">
        <v>115</v>
      </c>
      <c r="J95" s="3">
        <f>100+MOD(A95,10)</f>
        <v>108</v>
      </c>
      <c r="N95" s="1" t="str">
        <f ca="1">IF(IFERROR(VALUE(G95),G95)&lt;&gt;IFERROR(VALUE(F95),F95),"ERROR","")</f>
        <v/>
      </c>
    </row>
    <row r="96" spans="1:14" x14ac:dyDescent="0.35">
      <c r="A96">
        <f>A95+1</f>
        <v>59</v>
      </c>
      <c r="C96">
        <v>3.08</v>
      </c>
      <c r="D96" t="s">
        <v>70</v>
      </c>
      <c r="E96">
        <v>59</v>
      </c>
      <c r="F96" s="4">
        <v>3.08</v>
      </c>
      <c r="G96" s="5" t="str" cm="1">
        <f t="array" aca="1" ref="G96" ca="1">IFERROR(LEFT(C96,_xlfn.AGGREGATE(15,6,ROW(INDIRECT("1:"&amp;LEN(C96)+1))/(ISERROR(MID(C96&amp;" ",ROW(INDIRECT("1:"&amp;LEN(C96)+1)),1)*1)*(MID(C96&amp;" ",ROW(INDIRECT("1:"&amp;LEN(C96)+1)),1)&lt;&gt;".")*(MID(C96&amp;" ",ROW(INDIRECT("1:"&amp;LEN(C96)+1)),1)&lt;&gt;"-")),1)-1),C96)</f>
        <v>3.08</v>
      </c>
      <c r="H96" t="str">
        <f>IF(ISNUMBER(SEARCH("easy",C96)),"easy",IF(ISNUMBER(SEARCH("medium",C96)),"medium",IF(ISNUMBER(SEARCH("moderate",C96)),"moderate",IF(ISNUMBER(SEARCH("hard",C96)),"hard",""))))</f>
        <v/>
      </c>
      <c r="I96" t="s">
        <v>115</v>
      </c>
      <c r="J96" s="3">
        <f>100+MOD(A96,10)</f>
        <v>109</v>
      </c>
      <c r="N96" s="1" t="str">
        <f ca="1">IF(IFERROR(VALUE(G96),G96)&lt;&gt;IFERROR(VALUE(F96),F96),"ERROR","")</f>
        <v/>
      </c>
    </row>
    <row r="97" spans="1:14" x14ac:dyDescent="0.35">
      <c r="A97">
        <f>A96+1</f>
        <v>60</v>
      </c>
      <c r="C97">
        <v>-45</v>
      </c>
      <c r="D97" t="s">
        <v>71</v>
      </c>
      <c r="E97">
        <v>60</v>
      </c>
      <c r="F97" s="4">
        <v>-45</v>
      </c>
      <c r="G97" s="5" t="str" cm="1">
        <f t="array" aca="1" ref="G97" ca="1">IFERROR(LEFT(C97,_xlfn.AGGREGATE(15,6,ROW(INDIRECT("1:"&amp;LEN(C97)+1))/(ISERROR(MID(C97&amp;" ",ROW(INDIRECT("1:"&amp;LEN(C97)+1)),1)*1)*(MID(C97&amp;" ",ROW(INDIRECT("1:"&amp;LEN(C97)+1)),1)&lt;&gt;".")*(MID(C97&amp;" ",ROW(INDIRECT("1:"&amp;LEN(C97)+1)),1)&lt;&gt;"-")),1)-1),C97)</f>
        <v>-45</v>
      </c>
      <c r="H97" t="str">
        <f>IF(ISNUMBER(SEARCH("easy",C97)),"easy",IF(ISNUMBER(SEARCH("medium",C97)),"medium",IF(ISNUMBER(SEARCH("moderate",C97)),"moderate",IF(ISNUMBER(SEARCH("hard",C97)),"hard",""))))</f>
        <v/>
      </c>
      <c r="I97" t="s">
        <v>115</v>
      </c>
      <c r="J97" s="3">
        <f>100+MOD(A97,10)</f>
        <v>100</v>
      </c>
      <c r="N97" s="1" t="str">
        <f ca="1">IF(IFERROR(VALUE(G97),G97)&lt;&gt;IFERROR(VALUE(F97),F97),"ERROR","")</f>
        <v/>
      </c>
    </row>
    <row r="98" spans="1:14" x14ac:dyDescent="0.35">
      <c r="A98">
        <f>A97+1</f>
        <v>61</v>
      </c>
      <c r="C98">
        <v>4.29</v>
      </c>
      <c r="D98" t="s">
        <v>72</v>
      </c>
      <c r="E98">
        <v>61</v>
      </c>
      <c r="F98" s="4">
        <v>4.29</v>
      </c>
      <c r="G98" s="5" t="str" cm="1">
        <f t="array" aca="1" ref="G98" ca="1">IFERROR(LEFT(C98,_xlfn.AGGREGATE(15,6,ROW(INDIRECT("1:"&amp;LEN(C98)+1))/(ISERROR(MID(C98&amp;" ",ROW(INDIRECT("1:"&amp;LEN(C98)+1)),1)*1)*(MID(C98&amp;" ",ROW(INDIRECT("1:"&amp;LEN(C98)+1)),1)&lt;&gt;".")*(MID(C98&amp;" ",ROW(INDIRECT("1:"&amp;LEN(C98)+1)),1)&lt;&gt;"-")),1)-1),C98)</f>
        <v>4.29</v>
      </c>
      <c r="H98" t="str">
        <f>IF(ISNUMBER(SEARCH("easy",C98)),"easy",IF(ISNUMBER(SEARCH("medium",C98)),"medium",IF(ISNUMBER(SEARCH("moderate",C98)),"moderate",IF(ISNUMBER(SEARCH("hard",C98)),"hard",""))))</f>
        <v/>
      </c>
      <c r="I98" t="s">
        <v>115</v>
      </c>
      <c r="J98" s="3">
        <f>100+MOD(A98,10)</f>
        <v>101</v>
      </c>
      <c r="N98" s="1" t="str">
        <f ca="1">IF(IFERROR(VALUE(G98),G98)&lt;&gt;IFERROR(VALUE(F98),F98),"ERROR","")</f>
        <v/>
      </c>
    </row>
    <row r="99" spans="1:14" x14ac:dyDescent="0.35">
      <c r="A99">
        <f>A98+1</f>
        <v>62</v>
      </c>
      <c r="C99">
        <v>21</v>
      </c>
      <c r="D99" t="s">
        <v>73</v>
      </c>
      <c r="E99">
        <v>62</v>
      </c>
      <c r="F99" s="4">
        <v>21</v>
      </c>
      <c r="G99" s="5" t="str" cm="1">
        <f t="array" aca="1" ref="G99" ca="1">IFERROR(LEFT(C99,_xlfn.AGGREGATE(15,6,ROW(INDIRECT("1:"&amp;LEN(C99)+1))/(ISERROR(MID(C99&amp;" ",ROW(INDIRECT("1:"&amp;LEN(C99)+1)),1)*1)*(MID(C99&amp;" ",ROW(INDIRECT("1:"&amp;LEN(C99)+1)),1)&lt;&gt;".")*(MID(C99&amp;" ",ROW(INDIRECT("1:"&amp;LEN(C99)+1)),1)&lt;&gt;"-")),1)-1),C99)</f>
        <v>21</v>
      </c>
      <c r="H99" t="str">
        <f>IF(ISNUMBER(SEARCH("easy",C99)),"easy",IF(ISNUMBER(SEARCH("medium",C99)),"medium",IF(ISNUMBER(SEARCH("moderate",C99)),"moderate",IF(ISNUMBER(SEARCH("hard",C99)),"hard",""))))</f>
        <v/>
      </c>
      <c r="I99" t="s">
        <v>115</v>
      </c>
      <c r="J99" s="3">
        <f>100+MOD(A99,10)</f>
        <v>102</v>
      </c>
      <c r="N99" s="1" t="str">
        <f ca="1">IF(IFERROR(VALUE(G99),G99)&lt;&gt;IFERROR(VALUE(F99),F99),"ERROR","")</f>
        <v/>
      </c>
    </row>
    <row r="100" spans="1:14" x14ac:dyDescent="0.35">
      <c r="A100">
        <f>A99+1</f>
        <v>63</v>
      </c>
      <c r="C100">
        <v>18</v>
      </c>
      <c r="D100" t="s">
        <v>74</v>
      </c>
      <c r="E100">
        <v>63</v>
      </c>
      <c r="F100" s="4">
        <v>18</v>
      </c>
      <c r="G100" s="5" t="str" cm="1">
        <f t="array" aca="1" ref="G100" ca="1">IFERROR(LEFT(C100,_xlfn.AGGREGATE(15,6,ROW(INDIRECT("1:"&amp;LEN(C100)+1))/(ISERROR(MID(C100&amp;" ",ROW(INDIRECT("1:"&amp;LEN(C100)+1)),1)*1)*(MID(C100&amp;" ",ROW(INDIRECT("1:"&amp;LEN(C100)+1)),1)&lt;&gt;".")*(MID(C100&amp;" ",ROW(INDIRECT("1:"&amp;LEN(C100)+1)),1)&lt;&gt;"-")),1)-1),C100)</f>
        <v>18</v>
      </c>
      <c r="H100" t="str">
        <f>IF(ISNUMBER(SEARCH("easy",C100)),"easy",IF(ISNUMBER(SEARCH("medium",C100)),"medium",IF(ISNUMBER(SEARCH("moderate",C100)),"moderate",IF(ISNUMBER(SEARCH("hard",C100)),"hard",""))))</f>
        <v/>
      </c>
      <c r="I100" t="s">
        <v>115</v>
      </c>
      <c r="J100" s="3">
        <f>100+MOD(A100,10)</f>
        <v>103</v>
      </c>
      <c r="N100" s="1" t="str">
        <f ca="1">IF(IFERROR(VALUE(G100),G100)&lt;&gt;IFERROR(VALUE(F100),F100),"ERROR","")</f>
        <v/>
      </c>
    </row>
    <row r="101" spans="1:14" x14ac:dyDescent="0.35">
      <c r="A101">
        <f>A100+1</f>
        <v>64</v>
      </c>
      <c r="C101">
        <v>4</v>
      </c>
      <c r="D101" t="s">
        <v>75</v>
      </c>
      <c r="E101">
        <v>64</v>
      </c>
      <c r="F101" s="4">
        <v>4</v>
      </c>
      <c r="G101" s="5" t="str" cm="1">
        <f t="array" aca="1" ref="G101" ca="1">IFERROR(LEFT(C101,_xlfn.AGGREGATE(15,6,ROW(INDIRECT("1:"&amp;LEN(C101)+1))/(ISERROR(MID(C101&amp;" ",ROW(INDIRECT("1:"&amp;LEN(C101)+1)),1)*1)*(MID(C101&amp;" ",ROW(INDIRECT("1:"&amp;LEN(C101)+1)),1)&lt;&gt;".")*(MID(C101&amp;" ",ROW(INDIRECT("1:"&amp;LEN(C101)+1)),1)&lt;&gt;"-")),1)-1),C101)</f>
        <v>4</v>
      </c>
      <c r="H101" t="str">
        <f>IF(ISNUMBER(SEARCH("easy",C101)),"easy",IF(ISNUMBER(SEARCH("medium",C101)),"medium",IF(ISNUMBER(SEARCH("moderate",C101)),"moderate",IF(ISNUMBER(SEARCH("hard",C101)),"hard",""))))</f>
        <v/>
      </c>
      <c r="I101" t="s">
        <v>115</v>
      </c>
      <c r="J101" s="3">
        <f>100+MOD(A101,10)</f>
        <v>104</v>
      </c>
      <c r="N101" s="1" t="str">
        <f ca="1">IF(IFERROR(VALUE(G101),G101)&lt;&gt;IFERROR(VALUE(F101),F101),"ERROR","")</f>
        <v/>
      </c>
    </row>
    <row r="102" spans="1:14" x14ac:dyDescent="0.35">
      <c r="A102">
        <f>A101+1</f>
        <v>65</v>
      </c>
      <c r="C102">
        <v>234</v>
      </c>
      <c r="D102" t="s">
        <v>76</v>
      </c>
      <c r="E102">
        <v>65</v>
      </c>
      <c r="F102" s="4">
        <v>234</v>
      </c>
      <c r="G102" s="5" t="str" cm="1">
        <f t="array" aca="1" ref="G102" ca="1">IFERROR(LEFT(C102,_xlfn.AGGREGATE(15,6,ROW(INDIRECT("1:"&amp;LEN(C102)+1))/(ISERROR(MID(C102&amp;" ",ROW(INDIRECT("1:"&amp;LEN(C102)+1)),1)*1)*(MID(C102&amp;" ",ROW(INDIRECT("1:"&amp;LEN(C102)+1)),1)&lt;&gt;".")*(MID(C102&amp;" ",ROW(INDIRECT("1:"&amp;LEN(C102)+1)),1)&lt;&gt;"-")),1)-1),C102)</f>
        <v>234</v>
      </c>
      <c r="H102" t="str">
        <f>IF(ISNUMBER(SEARCH("easy",C102)),"easy",IF(ISNUMBER(SEARCH("medium",C102)),"medium",IF(ISNUMBER(SEARCH("moderate",C102)),"moderate",IF(ISNUMBER(SEARCH("hard",C102)),"hard",""))))</f>
        <v/>
      </c>
      <c r="I102" t="s">
        <v>115</v>
      </c>
      <c r="J102" s="3">
        <f>100+MOD(A102,10)</f>
        <v>105</v>
      </c>
      <c r="N102" s="1" t="str">
        <f ca="1">IF(IFERROR(VALUE(G102),G102)&lt;&gt;IFERROR(VALUE(F102),F102),"ERROR","")</f>
        <v/>
      </c>
    </row>
    <row r="103" spans="1:14" x14ac:dyDescent="0.35">
      <c r="A103">
        <f>A102+1</f>
        <v>66</v>
      </c>
      <c r="C103">
        <v>2.4300000000000002</v>
      </c>
      <c r="D103" t="s">
        <v>77</v>
      </c>
      <c r="E103">
        <v>66</v>
      </c>
      <c r="F103" s="4">
        <v>2.4300000000000002</v>
      </c>
      <c r="G103" s="5" t="str" cm="1">
        <f t="array" aca="1" ref="G103" ca="1">IFERROR(LEFT(C103,_xlfn.AGGREGATE(15,6,ROW(INDIRECT("1:"&amp;LEN(C103)+1))/(ISERROR(MID(C103&amp;" ",ROW(INDIRECT("1:"&amp;LEN(C103)+1)),1)*1)*(MID(C103&amp;" ",ROW(INDIRECT("1:"&amp;LEN(C103)+1)),1)&lt;&gt;".")*(MID(C103&amp;" ",ROW(INDIRECT("1:"&amp;LEN(C103)+1)),1)&lt;&gt;"-")),1)-1),C103)</f>
        <v>2.43</v>
      </c>
      <c r="H103" t="str">
        <f>IF(ISNUMBER(SEARCH("easy",C103)),"easy",IF(ISNUMBER(SEARCH("medium",C103)),"medium",IF(ISNUMBER(SEARCH("moderate",C103)),"moderate",IF(ISNUMBER(SEARCH("hard",C103)),"hard",""))))</f>
        <v/>
      </c>
      <c r="I103" t="s">
        <v>115</v>
      </c>
      <c r="J103" s="3">
        <f>100+MOD(A103,10)</f>
        <v>106</v>
      </c>
      <c r="N103" s="1" t="str">
        <f ca="1">IF(IFERROR(VALUE(G103),G103)&lt;&gt;IFERROR(VALUE(F103),F103),"ERROR","")</f>
        <v/>
      </c>
    </row>
    <row r="104" spans="1:14" x14ac:dyDescent="0.35">
      <c r="A104">
        <f>A103+1</f>
        <v>67</v>
      </c>
      <c r="C104">
        <v>465</v>
      </c>
      <c r="D104" t="s">
        <v>78</v>
      </c>
      <c r="E104">
        <v>67</v>
      </c>
      <c r="F104" s="4">
        <v>465</v>
      </c>
      <c r="G104" s="5" t="str" cm="1">
        <f t="array" aca="1" ref="G104" ca="1">IFERROR(LEFT(C104,_xlfn.AGGREGATE(15,6,ROW(INDIRECT("1:"&amp;LEN(C104)+1))/(ISERROR(MID(C104&amp;" ",ROW(INDIRECT("1:"&amp;LEN(C104)+1)),1)*1)*(MID(C104&amp;" ",ROW(INDIRECT("1:"&amp;LEN(C104)+1)),1)&lt;&gt;".")*(MID(C104&amp;" ",ROW(INDIRECT("1:"&amp;LEN(C104)+1)),1)&lt;&gt;"-")),1)-1),C104)</f>
        <v>465</v>
      </c>
      <c r="H104" t="str">
        <f>IF(ISNUMBER(SEARCH("easy",C104)),"easy",IF(ISNUMBER(SEARCH("medium",C104)),"medium",IF(ISNUMBER(SEARCH("moderate",C104)),"moderate",IF(ISNUMBER(SEARCH("hard",C104)),"hard",""))))</f>
        <v/>
      </c>
      <c r="I104" t="s">
        <v>115</v>
      </c>
      <c r="J104" s="3">
        <f>100+MOD(A104,10)</f>
        <v>107</v>
      </c>
      <c r="N104" s="1" t="str">
        <f ca="1">IF(IFERROR(VALUE(G104),G104)&lt;&gt;IFERROR(VALUE(F104),F104),"ERROR","")</f>
        <v/>
      </c>
    </row>
    <row r="105" spans="1:14" x14ac:dyDescent="0.35">
      <c r="A105">
        <f>A104+1</f>
        <v>68</v>
      </c>
      <c r="C105">
        <v>1</v>
      </c>
      <c r="D105" t="s">
        <v>79</v>
      </c>
      <c r="E105">
        <v>68</v>
      </c>
      <c r="F105" s="4">
        <v>1</v>
      </c>
      <c r="G105" s="5" t="str" cm="1">
        <f t="array" aca="1" ref="G105" ca="1">IFERROR(LEFT(C105,_xlfn.AGGREGATE(15,6,ROW(INDIRECT("1:"&amp;LEN(C105)+1))/(ISERROR(MID(C105&amp;" ",ROW(INDIRECT("1:"&amp;LEN(C105)+1)),1)*1)*(MID(C105&amp;" ",ROW(INDIRECT("1:"&amp;LEN(C105)+1)),1)&lt;&gt;".")*(MID(C105&amp;" ",ROW(INDIRECT("1:"&amp;LEN(C105)+1)),1)&lt;&gt;"-")),1)-1),C105)</f>
        <v>1</v>
      </c>
      <c r="H105" t="str">
        <f>IF(ISNUMBER(SEARCH("easy",C105)),"easy",IF(ISNUMBER(SEARCH("medium",C105)),"medium",IF(ISNUMBER(SEARCH("moderate",C105)),"moderate",IF(ISNUMBER(SEARCH("hard",C105)),"hard",""))))</f>
        <v/>
      </c>
      <c r="I105" t="s">
        <v>115</v>
      </c>
      <c r="J105" s="3">
        <f>100+MOD(A105,10)</f>
        <v>108</v>
      </c>
      <c r="N105" s="1" t="str">
        <f ca="1">IF(IFERROR(VALUE(G105),G105)&lt;&gt;IFERROR(VALUE(F105),F105),"ERROR","")</f>
        <v/>
      </c>
    </row>
    <row r="106" spans="1:14" x14ac:dyDescent="0.35">
      <c r="A106">
        <f>A105+1</f>
        <v>69</v>
      </c>
      <c r="C106">
        <v>11</v>
      </c>
      <c r="D106" t="s">
        <v>80</v>
      </c>
      <c r="E106">
        <v>69</v>
      </c>
      <c r="F106" s="4">
        <v>11</v>
      </c>
      <c r="G106" s="5" t="str" cm="1">
        <f t="array" aca="1" ref="G106" ca="1">IFERROR(LEFT(C106,_xlfn.AGGREGATE(15,6,ROW(INDIRECT("1:"&amp;LEN(C106)+1))/(ISERROR(MID(C106&amp;" ",ROW(INDIRECT("1:"&amp;LEN(C106)+1)),1)*1)*(MID(C106&amp;" ",ROW(INDIRECT("1:"&amp;LEN(C106)+1)),1)&lt;&gt;".")*(MID(C106&amp;" ",ROW(INDIRECT("1:"&amp;LEN(C106)+1)),1)&lt;&gt;"-")),1)-1),C106)</f>
        <v>11</v>
      </c>
      <c r="H106" t="str">
        <f>IF(ISNUMBER(SEARCH("easy",C106)),"easy",IF(ISNUMBER(SEARCH("medium",C106)),"medium",IF(ISNUMBER(SEARCH("moderate",C106)),"moderate",IF(ISNUMBER(SEARCH("hard",C106)),"hard",""))))</f>
        <v/>
      </c>
      <c r="I106" t="s">
        <v>115</v>
      </c>
      <c r="J106" s="3">
        <f>100+MOD(A106,10)</f>
        <v>109</v>
      </c>
      <c r="N106" s="1" t="str">
        <f ca="1">IF(IFERROR(VALUE(G106),G106)&lt;&gt;IFERROR(VALUE(F106),F106),"ERROR","")</f>
        <v/>
      </c>
    </row>
    <row r="107" spans="1:14" x14ac:dyDescent="0.35">
      <c r="A107">
        <f>A106+1</f>
        <v>70</v>
      </c>
      <c r="C107">
        <v>70</v>
      </c>
      <c r="D107" t="s">
        <v>81</v>
      </c>
      <c r="E107">
        <v>70</v>
      </c>
      <c r="F107" s="4">
        <v>70</v>
      </c>
      <c r="G107" s="5" t="str" cm="1">
        <f t="array" aca="1" ref="G107" ca="1">IFERROR(LEFT(C107,_xlfn.AGGREGATE(15,6,ROW(INDIRECT("1:"&amp;LEN(C107)+1))/(ISERROR(MID(C107&amp;" ",ROW(INDIRECT("1:"&amp;LEN(C107)+1)),1)*1)*(MID(C107&amp;" ",ROW(INDIRECT("1:"&amp;LEN(C107)+1)),1)&lt;&gt;".")*(MID(C107&amp;" ",ROW(INDIRECT("1:"&amp;LEN(C107)+1)),1)&lt;&gt;"-")),1)-1),C107)</f>
        <v>70</v>
      </c>
      <c r="H107" t="str">
        <f>IF(ISNUMBER(SEARCH("easy",C107)),"easy",IF(ISNUMBER(SEARCH("medium",C107)),"medium",IF(ISNUMBER(SEARCH("moderate",C107)),"moderate",IF(ISNUMBER(SEARCH("hard",C107)),"hard",""))))</f>
        <v/>
      </c>
      <c r="I107" t="s">
        <v>115</v>
      </c>
      <c r="J107" s="3">
        <f>100+MOD(A107,10)</f>
        <v>100</v>
      </c>
      <c r="N107" s="1" t="str">
        <f ca="1">IF(IFERROR(VALUE(G107),G107)&lt;&gt;IFERROR(VALUE(F107),F107),"ERROR","")</f>
        <v/>
      </c>
    </row>
    <row r="108" spans="1:14" x14ac:dyDescent="0.35">
      <c r="A108">
        <f>A107+1</f>
        <v>71</v>
      </c>
      <c r="C108">
        <v>78.125</v>
      </c>
      <c r="D108" t="s">
        <v>82</v>
      </c>
      <c r="E108">
        <v>71</v>
      </c>
      <c r="F108" s="4">
        <v>78.125</v>
      </c>
      <c r="G108" s="5" t="str" cm="1">
        <f t="array" aca="1" ref="G108" ca="1">IFERROR(LEFT(C108,_xlfn.AGGREGATE(15,6,ROW(INDIRECT("1:"&amp;LEN(C108)+1))/(ISERROR(MID(C108&amp;" ",ROW(INDIRECT("1:"&amp;LEN(C108)+1)),1)*1)*(MID(C108&amp;" ",ROW(INDIRECT("1:"&amp;LEN(C108)+1)),1)&lt;&gt;".")*(MID(C108&amp;" ",ROW(INDIRECT("1:"&amp;LEN(C108)+1)),1)&lt;&gt;"-")),1)-1),C108)</f>
        <v>78.125</v>
      </c>
      <c r="H108" t="str">
        <f>IF(ISNUMBER(SEARCH("easy",C108)),"easy",IF(ISNUMBER(SEARCH("medium",C108)),"medium",IF(ISNUMBER(SEARCH("moderate",C108)),"moderate",IF(ISNUMBER(SEARCH("hard",C108)),"hard",""))))</f>
        <v/>
      </c>
      <c r="I108" t="s">
        <v>115</v>
      </c>
      <c r="J108" s="3">
        <f>100+MOD(A108,10)</f>
        <v>101</v>
      </c>
      <c r="N108" s="1" t="str">
        <f ca="1">IF(IFERROR(VALUE(G108),G108)&lt;&gt;IFERROR(VALUE(F108),F108),"ERROR","")</f>
        <v/>
      </c>
    </row>
    <row r="109" spans="1:14" x14ac:dyDescent="0.35">
      <c r="A109">
        <f>A108+1</f>
        <v>72</v>
      </c>
      <c r="C109">
        <v>2.09</v>
      </c>
      <c r="D109" t="s">
        <v>83</v>
      </c>
      <c r="E109">
        <v>72</v>
      </c>
      <c r="F109" s="4">
        <v>2.09</v>
      </c>
      <c r="G109" s="5" t="str" cm="1">
        <f t="array" aca="1" ref="G109" ca="1">IFERROR(LEFT(C109,_xlfn.AGGREGATE(15,6,ROW(INDIRECT("1:"&amp;LEN(C109)+1))/(ISERROR(MID(C109&amp;" ",ROW(INDIRECT("1:"&amp;LEN(C109)+1)),1)*1)*(MID(C109&amp;" ",ROW(INDIRECT("1:"&amp;LEN(C109)+1)),1)&lt;&gt;".")*(MID(C109&amp;" ",ROW(INDIRECT("1:"&amp;LEN(C109)+1)),1)&lt;&gt;"-")),1)-1),C109)</f>
        <v>2.09</v>
      </c>
      <c r="H109" t="str">
        <f>IF(ISNUMBER(SEARCH("easy",C109)),"easy",IF(ISNUMBER(SEARCH("medium",C109)),"medium",IF(ISNUMBER(SEARCH("moderate",C109)),"moderate",IF(ISNUMBER(SEARCH("hard",C109)),"hard",""))))</f>
        <v/>
      </c>
      <c r="I109" t="s">
        <v>115</v>
      </c>
      <c r="J109" s="3">
        <f>100+MOD(A109,10)</f>
        <v>102</v>
      </c>
      <c r="N109" s="1" t="str">
        <f ca="1">IF(IFERROR(VALUE(G109),G109)&lt;&gt;IFERROR(VALUE(F109),F109),"ERROR","")</f>
        <v/>
      </c>
    </row>
    <row r="110" spans="1:14" x14ac:dyDescent="0.35">
      <c r="A110">
        <f>A109+1</f>
        <v>73</v>
      </c>
      <c r="C110">
        <v>35</v>
      </c>
      <c r="D110" t="s">
        <v>84</v>
      </c>
      <c r="E110">
        <v>73</v>
      </c>
      <c r="F110" s="4">
        <v>35</v>
      </c>
      <c r="G110" s="5" t="str" cm="1">
        <f t="array" aca="1" ref="G110" ca="1">IFERROR(LEFT(C110,_xlfn.AGGREGATE(15,6,ROW(INDIRECT("1:"&amp;LEN(C110)+1))/(ISERROR(MID(C110&amp;" ",ROW(INDIRECT("1:"&amp;LEN(C110)+1)),1)*1)*(MID(C110&amp;" ",ROW(INDIRECT("1:"&amp;LEN(C110)+1)),1)&lt;&gt;".")*(MID(C110&amp;" ",ROW(INDIRECT("1:"&amp;LEN(C110)+1)),1)&lt;&gt;"-")),1)-1),C110)</f>
        <v>35</v>
      </c>
      <c r="H110" t="str">
        <f>IF(ISNUMBER(SEARCH("easy",C110)),"easy",IF(ISNUMBER(SEARCH("medium",C110)),"medium",IF(ISNUMBER(SEARCH("moderate",C110)),"moderate",IF(ISNUMBER(SEARCH("hard",C110)),"hard",""))))</f>
        <v/>
      </c>
      <c r="I110" t="s">
        <v>115</v>
      </c>
      <c r="J110" s="3">
        <f>100+MOD(A110,10)</f>
        <v>103</v>
      </c>
      <c r="N110" s="1" t="str">
        <f ca="1">IF(IFERROR(VALUE(G110),G110)&lt;&gt;IFERROR(VALUE(F110),F110),"ERROR","")</f>
        <v/>
      </c>
    </row>
    <row r="111" spans="1:14" x14ac:dyDescent="0.35">
      <c r="A111">
        <f>A110+1</f>
        <v>74</v>
      </c>
      <c r="C111">
        <v>107000</v>
      </c>
      <c r="D111" t="s">
        <v>85</v>
      </c>
      <c r="E111">
        <v>74</v>
      </c>
      <c r="F111" s="4">
        <v>107000</v>
      </c>
      <c r="G111" s="5" t="str" cm="1">
        <f t="array" aca="1" ref="G111" ca="1">IFERROR(LEFT(C111,_xlfn.AGGREGATE(15,6,ROW(INDIRECT("1:"&amp;LEN(C111)+1))/(ISERROR(MID(C111&amp;" ",ROW(INDIRECT("1:"&amp;LEN(C111)+1)),1)*1)*(MID(C111&amp;" ",ROW(INDIRECT("1:"&amp;LEN(C111)+1)),1)&lt;&gt;".")*(MID(C111&amp;" ",ROW(INDIRECT("1:"&amp;LEN(C111)+1)),1)&lt;&gt;"-")),1)-1),C111)</f>
        <v>107000</v>
      </c>
      <c r="H111" t="str">
        <f>IF(ISNUMBER(SEARCH("easy",C111)),"easy",IF(ISNUMBER(SEARCH("medium",C111)),"medium",IF(ISNUMBER(SEARCH("moderate",C111)),"moderate",IF(ISNUMBER(SEARCH("hard",C111)),"hard",""))))</f>
        <v/>
      </c>
      <c r="I111" t="s">
        <v>115</v>
      </c>
      <c r="J111" s="3">
        <f>100+MOD(A111,10)</f>
        <v>104</v>
      </c>
      <c r="N111" s="1" t="str">
        <f ca="1">IF(IFERROR(VALUE(G111),G111)&lt;&gt;IFERROR(VALUE(F111),F111),"ERROR","")</f>
        <v/>
      </c>
    </row>
    <row r="112" spans="1:14" x14ac:dyDescent="0.35">
      <c r="A112">
        <f>A111+1</f>
        <v>75</v>
      </c>
      <c r="C112">
        <v>7</v>
      </c>
      <c r="D112" t="s">
        <v>86</v>
      </c>
      <c r="E112">
        <v>75</v>
      </c>
      <c r="F112" s="4">
        <v>7</v>
      </c>
      <c r="G112" s="5" t="str" cm="1">
        <f t="array" aca="1" ref="G112" ca="1">IFERROR(LEFT(C112,_xlfn.AGGREGATE(15,6,ROW(INDIRECT("1:"&amp;LEN(C112)+1))/(ISERROR(MID(C112&amp;" ",ROW(INDIRECT("1:"&amp;LEN(C112)+1)),1)*1)*(MID(C112&amp;" ",ROW(INDIRECT("1:"&amp;LEN(C112)+1)),1)&lt;&gt;".")*(MID(C112&amp;" ",ROW(INDIRECT("1:"&amp;LEN(C112)+1)),1)&lt;&gt;"-")),1)-1),C112)</f>
        <v>7</v>
      </c>
      <c r="H112" t="str">
        <f>IF(ISNUMBER(SEARCH("easy",C112)),"easy",IF(ISNUMBER(SEARCH("medium",C112)),"medium",IF(ISNUMBER(SEARCH("moderate",C112)),"moderate",IF(ISNUMBER(SEARCH("hard",C112)),"hard",""))))</f>
        <v/>
      </c>
      <c r="I112" t="s">
        <v>115</v>
      </c>
      <c r="J112" s="3">
        <f>100+MOD(A112,10)</f>
        <v>105</v>
      </c>
      <c r="N112" s="1" t="str">
        <f ca="1">IF(IFERROR(VALUE(G112),G112)&lt;&gt;IFERROR(VALUE(F112),F112),"ERROR","")</f>
        <v/>
      </c>
    </row>
    <row r="113" spans="1:14" x14ac:dyDescent="0.35">
      <c r="A113">
        <f>A112+1</f>
        <v>76</v>
      </c>
      <c r="C113">
        <v>17</v>
      </c>
      <c r="D113" t="s">
        <v>87</v>
      </c>
      <c r="E113">
        <v>76</v>
      </c>
      <c r="F113" s="4">
        <v>17</v>
      </c>
      <c r="G113" s="5" t="str" cm="1">
        <f t="array" aca="1" ref="G113" ca="1">IFERROR(LEFT(C113,_xlfn.AGGREGATE(15,6,ROW(INDIRECT("1:"&amp;LEN(C113)+1))/(ISERROR(MID(C113&amp;" ",ROW(INDIRECT("1:"&amp;LEN(C113)+1)),1)*1)*(MID(C113&amp;" ",ROW(INDIRECT("1:"&amp;LEN(C113)+1)),1)&lt;&gt;".")*(MID(C113&amp;" ",ROW(INDIRECT("1:"&amp;LEN(C113)+1)),1)&lt;&gt;"-")),1)-1),C113)</f>
        <v>17</v>
      </c>
      <c r="H113" t="str">
        <f>IF(ISNUMBER(SEARCH("easy",C113)),"easy",IF(ISNUMBER(SEARCH("medium",C113)),"medium",IF(ISNUMBER(SEARCH("moderate",C113)),"moderate",IF(ISNUMBER(SEARCH("hard",C113)),"hard",""))))</f>
        <v/>
      </c>
      <c r="I113" t="s">
        <v>115</v>
      </c>
      <c r="J113" s="3">
        <f>100+MOD(A113,10)</f>
        <v>106</v>
      </c>
      <c r="N113" s="1" t="str">
        <f ca="1">IF(IFERROR(VALUE(G113),G113)&lt;&gt;IFERROR(VALUE(F113),F113),"ERROR","")</f>
        <v/>
      </c>
    </row>
    <row r="114" spans="1:14" x14ac:dyDescent="0.35">
      <c r="A114">
        <f>A113+1</f>
        <v>77</v>
      </c>
      <c r="C114">
        <v>-54.5</v>
      </c>
      <c r="D114" t="s">
        <v>88</v>
      </c>
      <c r="E114">
        <v>77</v>
      </c>
      <c r="F114" s="4">
        <v>-54.5</v>
      </c>
      <c r="G114" s="5" t="str" cm="1">
        <f t="array" aca="1" ref="G114" ca="1">IFERROR(LEFT(C114,_xlfn.AGGREGATE(15,6,ROW(INDIRECT("1:"&amp;LEN(C114)+1))/(ISERROR(MID(C114&amp;" ",ROW(INDIRECT("1:"&amp;LEN(C114)+1)),1)*1)*(MID(C114&amp;" ",ROW(INDIRECT("1:"&amp;LEN(C114)+1)),1)&lt;&gt;".")*(MID(C114&amp;" ",ROW(INDIRECT("1:"&amp;LEN(C114)+1)),1)&lt;&gt;"-")),1)-1),C114)</f>
        <v>-54.5</v>
      </c>
      <c r="H114" t="str">
        <f>IF(ISNUMBER(SEARCH("easy",C114)),"easy",IF(ISNUMBER(SEARCH("medium",C114)),"medium",IF(ISNUMBER(SEARCH("moderate",C114)),"moderate",IF(ISNUMBER(SEARCH("hard",C114)),"hard",""))))</f>
        <v/>
      </c>
      <c r="I114" t="s">
        <v>115</v>
      </c>
      <c r="J114" s="3">
        <f>100+MOD(A114,10)</f>
        <v>107</v>
      </c>
      <c r="N114" s="1" t="str">
        <f ca="1">IF(IFERROR(VALUE(G114),G114)&lt;&gt;IFERROR(VALUE(F114),F114),"ERROR","")</f>
        <v/>
      </c>
    </row>
    <row r="115" spans="1:14" x14ac:dyDescent="0.35">
      <c r="A115">
        <f>A114+1</f>
        <v>78</v>
      </c>
      <c r="C115">
        <v>10.8</v>
      </c>
      <c r="D115" t="s">
        <v>89</v>
      </c>
      <c r="E115">
        <v>78</v>
      </c>
      <c r="F115" s="4">
        <v>10.8</v>
      </c>
      <c r="G115" s="5" t="str" cm="1">
        <f t="array" aca="1" ref="G115" ca="1">IFERROR(LEFT(C115,_xlfn.AGGREGATE(15,6,ROW(INDIRECT("1:"&amp;LEN(C115)+1))/(ISERROR(MID(C115&amp;" ",ROW(INDIRECT("1:"&amp;LEN(C115)+1)),1)*1)*(MID(C115&amp;" ",ROW(INDIRECT("1:"&amp;LEN(C115)+1)),1)&lt;&gt;".")*(MID(C115&amp;" ",ROW(INDIRECT("1:"&amp;LEN(C115)+1)),1)&lt;&gt;"-")),1)-1),C115)</f>
        <v>10.8</v>
      </c>
      <c r="H115" t="str">
        <f>IF(ISNUMBER(SEARCH("easy",C115)),"easy",IF(ISNUMBER(SEARCH("medium",C115)),"medium",IF(ISNUMBER(SEARCH("moderate",C115)),"moderate",IF(ISNUMBER(SEARCH("hard",C115)),"hard",""))))</f>
        <v/>
      </c>
      <c r="I115" t="s">
        <v>115</v>
      </c>
      <c r="J115" s="3">
        <f>100+MOD(A115,10)</f>
        <v>108</v>
      </c>
      <c r="N115" s="1" t="str">
        <f ca="1">IF(IFERROR(VALUE(G115),G115)&lt;&gt;IFERROR(VALUE(F115),F115),"ERROR","")</f>
        <v/>
      </c>
    </row>
    <row r="116" spans="1:14" x14ac:dyDescent="0.35">
      <c r="A116">
        <f>A115+1</f>
        <v>79</v>
      </c>
      <c r="C116">
        <v>-20</v>
      </c>
      <c r="D116" t="s">
        <v>90</v>
      </c>
      <c r="E116">
        <v>79</v>
      </c>
      <c r="F116" s="4">
        <v>-20</v>
      </c>
      <c r="G116" s="5" t="str" cm="1">
        <f t="array" aca="1" ref="G116" ca="1">IFERROR(LEFT(C116,_xlfn.AGGREGATE(15,6,ROW(INDIRECT("1:"&amp;LEN(C116)+1))/(ISERROR(MID(C116&amp;" ",ROW(INDIRECT("1:"&amp;LEN(C116)+1)),1)*1)*(MID(C116&amp;" ",ROW(INDIRECT("1:"&amp;LEN(C116)+1)),1)&lt;&gt;".")*(MID(C116&amp;" ",ROW(INDIRECT("1:"&amp;LEN(C116)+1)),1)&lt;&gt;"-")),1)-1),C116)</f>
        <v>-20</v>
      </c>
      <c r="H116" t="str">
        <f>IF(ISNUMBER(SEARCH("easy",C116)),"easy",IF(ISNUMBER(SEARCH("medium",C116)),"medium",IF(ISNUMBER(SEARCH("moderate",C116)),"moderate",IF(ISNUMBER(SEARCH("hard",C116)),"hard",""))))</f>
        <v/>
      </c>
      <c r="I116" t="s">
        <v>115</v>
      </c>
      <c r="J116" s="3">
        <f>100+MOD(A116,10)</f>
        <v>109</v>
      </c>
      <c r="N116" s="1" t="str">
        <f ca="1">IF(IFERROR(VALUE(G116),G116)&lt;&gt;IFERROR(VALUE(F116),F116),"ERROR","")</f>
        <v/>
      </c>
    </row>
    <row r="117" spans="1:14" x14ac:dyDescent="0.35">
      <c r="A117">
        <f>A116+1</f>
        <v>80</v>
      </c>
      <c r="C117">
        <v>-3.75</v>
      </c>
      <c r="D117" t="s">
        <v>91</v>
      </c>
      <c r="E117">
        <v>80</v>
      </c>
      <c r="F117" s="4">
        <v>-3.75</v>
      </c>
      <c r="G117" s="5" t="str" cm="1">
        <f t="array" aca="1" ref="G117" ca="1">IFERROR(LEFT(C117,_xlfn.AGGREGATE(15,6,ROW(INDIRECT("1:"&amp;LEN(C117)+1))/(ISERROR(MID(C117&amp;" ",ROW(INDIRECT("1:"&amp;LEN(C117)+1)),1)*1)*(MID(C117&amp;" ",ROW(INDIRECT("1:"&amp;LEN(C117)+1)),1)&lt;&gt;".")*(MID(C117&amp;" ",ROW(INDIRECT("1:"&amp;LEN(C117)+1)),1)&lt;&gt;"-")),1)-1),C117)</f>
        <v>-3.75</v>
      </c>
      <c r="H117" t="str">
        <f>IF(ISNUMBER(SEARCH("easy",C117)),"easy",IF(ISNUMBER(SEARCH("medium",C117)),"medium",IF(ISNUMBER(SEARCH("moderate",C117)),"moderate",IF(ISNUMBER(SEARCH("hard",C117)),"hard",""))))</f>
        <v/>
      </c>
      <c r="I117" t="s">
        <v>115</v>
      </c>
      <c r="J117" s="3">
        <f>100+MOD(A117,10)</f>
        <v>100</v>
      </c>
      <c r="N117" s="1" t="str">
        <f ca="1">IF(IFERROR(VALUE(G117),G117)&lt;&gt;IFERROR(VALUE(F117),F117),"ERROR","")</f>
        <v/>
      </c>
    </row>
    <row r="118" spans="1:14" x14ac:dyDescent="0.35">
      <c r="A118">
        <f>A117+1</f>
        <v>81</v>
      </c>
      <c r="C118">
        <v>288</v>
      </c>
      <c r="D118" t="s">
        <v>92</v>
      </c>
      <c r="E118">
        <v>81</v>
      </c>
      <c r="F118" s="4">
        <v>288</v>
      </c>
      <c r="G118" s="5" t="str" cm="1">
        <f t="array" aca="1" ref="G118" ca="1">IFERROR(LEFT(C118,_xlfn.AGGREGATE(15,6,ROW(INDIRECT("1:"&amp;LEN(C118)+1))/(ISERROR(MID(C118&amp;" ",ROW(INDIRECT("1:"&amp;LEN(C118)+1)),1)*1)*(MID(C118&amp;" ",ROW(INDIRECT("1:"&amp;LEN(C118)+1)),1)&lt;&gt;".")*(MID(C118&amp;" ",ROW(INDIRECT("1:"&amp;LEN(C118)+1)),1)&lt;&gt;"-")),1)-1),C118)</f>
        <v>288</v>
      </c>
      <c r="H118" t="str">
        <f>IF(ISNUMBER(SEARCH("easy",C118)),"easy",IF(ISNUMBER(SEARCH("medium",C118)),"medium",IF(ISNUMBER(SEARCH("moderate",C118)),"moderate",IF(ISNUMBER(SEARCH("hard",C118)),"hard",""))))</f>
        <v/>
      </c>
      <c r="I118" t="s">
        <v>115</v>
      </c>
      <c r="J118" s="3">
        <f>100+MOD(A118,10)</f>
        <v>101</v>
      </c>
      <c r="N118" s="1" t="str">
        <f ca="1">IF(IFERROR(VALUE(G118),G118)&lt;&gt;IFERROR(VALUE(F118),F118),"ERROR","")</f>
        <v/>
      </c>
    </row>
    <row r="119" spans="1:14" x14ac:dyDescent="0.35">
      <c r="A119">
        <f>A118+1</f>
        <v>82</v>
      </c>
      <c r="C119">
        <v>675</v>
      </c>
      <c r="D119" t="s">
        <v>93</v>
      </c>
      <c r="E119">
        <v>82</v>
      </c>
      <c r="F119" s="4">
        <v>675</v>
      </c>
      <c r="G119" s="5" t="str" cm="1">
        <f t="array" aca="1" ref="G119" ca="1">IFERROR(LEFT(C119,_xlfn.AGGREGATE(15,6,ROW(INDIRECT("1:"&amp;LEN(C119)+1))/(ISERROR(MID(C119&amp;" ",ROW(INDIRECT("1:"&amp;LEN(C119)+1)),1)*1)*(MID(C119&amp;" ",ROW(INDIRECT("1:"&amp;LEN(C119)+1)),1)&lt;&gt;".")*(MID(C119&amp;" ",ROW(INDIRECT("1:"&amp;LEN(C119)+1)),1)&lt;&gt;"-")),1)-1),C119)</f>
        <v>675</v>
      </c>
      <c r="H119" t="str">
        <f>IF(ISNUMBER(SEARCH("easy",C119)),"easy",IF(ISNUMBER(SEARCH("medium",C119)),"medium",IF(ISNUMBER(SEARCH("moderate",C119)),"moderate",IF(ISNUMBER(SEARCH("hard",C119)),"hard",""))))</f>
        <v/>
      </c>
      <c r="I119" t="s">
        <v>115</v>
      </c>
      <c r="J119" s="3">
        <f>100+MOD(A119,10)</f>
        <v>102</v>
      </c>
      <c r="N119" s="1" t="str">
        <f ca="1">IF(IFERROR(VALUE(G119),G119)&lt;&gt;IFERROR(VALUE(F119),F119),"ERROR","")</f>
        <v/>
      </c>
    </row>
    <row r="120" spans="1:14" x14ac:dyDescent="0.35">
      <c r="A120">
        <f>A119+1</f>
        <v>83</v>
      </c>
      <c r="C120">
        <v>3</v>
      </c>
      <c r="D120" t="s">
        <v>94</v>
      </c>
      <c r="E120">
        <v>83</v>
      </c>
      <c r="F120" s="4">
        <v>3</v>
      </c>
      <c r="G120" s="5" t="str" cm="1">
        <f t="array" aca="1" ref="G120" ca="1">IFERROR(LEFT(C120,_xlfn.AGGREGATE(15,6,ROW(INDIRECT("1:"&amp;LEN(C120)+1))/(ISERROR(MID(C120&amp;" ",ROW(INDIRECT("1:"&amp;LEN(C120)+1)),1)*1)*(MID(C120&amp;" ",ROW(INDIRECT("1:"&amp;LEN(C120)+1)),1)&lt;&gt;".")*(MID(C120&amp;" ",ROW(INDIRECT("1:"&amp;LEN(C120)+1)),1)&lt;&gt;"-")),1)-1),C120)</f>
        <v>3</v>
      </c>
      <c r="H120" t="str">
        <f>IF(ISNUMBER(SEARCH("easy",C120)),"easy",IF(ISNUMBER(SEARCH("medium",C120)),"medium",IF(ISNUMBER(SEARCH("moderate",C120)),"moderate",IF(ISNUMBER(SEARCH("hard",C120)),"hard",""))))</f>
        <v/>
      </c>
      <c r="I120" t="s">
        <v>115</v>
      </c>
      <c r="J120" s="3">
        <f>100+MOD(A120,10)</f>
        <v>103</v>
      </c>
      <c r="N120" s="1" t="str">
        <f ca="1">IF(IFERROR(VALUE(G120),G120)&lt;&gt;IFERROR(VALUE(F120),F120),"ERROR","")</f>
        <v/>
      </c>
    </row>
    <row r="121" spans="1:14" x14ac:dyDescent="0.35">
      <c r="A121">
        <f>A120+1</f>
        <v>84</v>
      </c>
      <c r="C121">
        <v>560</v>
      </c>
      <c r="D121" t="s">
        <v>95</v>
      </c>
      <c r="E121">
        <v>84</v>
      </c>
      <c r="F121" s="4">
        <v>560</v>
      </c>
      <c r="G121" s="5" t="str" cm="1">
        <f t="array" aca="1" ref="G121" ca="1">IFERROR(LEFT(C121,_xlfn.AGGREGATE(15,6,ROW(INDIRECT("1:"&amp;LEN(C121)+1))/(ISERROR(MID(C121&amp;" ",ROW(INDIRECT("1:"&amp;LEN(C121)+1)),1)*1)*(MID(C121&amp;" ",ROW(INDIRECT("1:"&amp;LEN(C121)+1)),1)&lt;&gt;".")*(MID(C121&amp;" ",ROW(INDIRECT("1:"&amp;LEN(C121)+1)),1)&lt;&gt;"-")),1)-1),C121)</f>
        <v>560</v>
      </c>
      <c r="H121" t="str">
        <f>IF(ISNUMBER(SEARCH("easy",C121)),"easy",IF(ISNUMBER(SEARCH("medium",C121)),"medium",IF(ISNUMBER(SEARCH("moderate",C121)),"moderate",IF(ISNUMBER(SEARCH("hard",C121)),"hard",""))))</f>
        <v/>
      </c>
      <c r="I121" t="s">
        <v>115</v>
      </c>
      <c r="J121" s="3">
        <f>100+MOD(A121,10)</f>
        <v>104</v>
      </c>
      <c r="N121" s="1" t="str">
        <f ca="1">IF(IFERROR(VALUE(G121),G121)&lt;&gt;IFERROR(VALUE(F121),F121),"ERROR","")</f>
        <v/>
      </c>
    </row>
    <row r="122" spans="1:14" x14ac:dyDescent="0.35">
      <c r="A122">
        <f>A121+1</f>
        <v>85</v>
      </c>
      <c r="C122">
        <v>140</v>
      </c>
      <c r="D122" t="s">
        <v>96</v>
      </c>
      <c r="E122">
        <v>85</v>
      </c>
      <c r="F122" s="4">
        <v>140</v>
      </c>
      <c r="G122" s="5" t="str" cm="1">
        <f t="array" aca="1" ref="G122" ca="1">IFERROR(LEFT(C122,_xlfn.AGGREGATE(15,6,ROW(INDIRECT("1:"&amp;LEN(C122)+1))/(ISERROR(MID(C122&amp;" ",ROW(INDIRECT("1:"&amp;LEN(C122)+1)),1)*1)*(MID(C122&amp;" ",ROW(INDIRECT("1:"&amp;LEN(C122)+1)),1)&lt;&gt;".")*(MID(C122&amp;" ",ROW(INDIRECT("1:"&amp;LEN(C122)+1)),1)&lt;&gt;"-")),1)-1),C122)</f>
        <v>140</v>
      </c>
      <c r="H122" t="str">
        <f>IF(ISNUMBER(SEARCH("easy",C122)),"easy",IF(ISNUMBER(SEARCH("medium",C122)),"medium",IF(ISNUMBER(SEARCH("moderate",C122)),"moderate",IF(ISNUMBER(SEARCH("hard",C122)),"hard",""))))</f>
        <v/>
      </c>
      <c r="I122" t="s">
        <v>115</v>
      </c>
      <c r="J122" s="3">
        <f>100+MOD(A122,10)</f>
        <v>105</v>
      </c>
      <c r="N122" s="1" t="str">
        <f ca="1">IF(IFERROR(VALUE(G122),G122)&lt;&gt;IFERROR(VALUE(F122),F122),"ERROR","")</f>
        <v/>
      </c>
    </row>
    <row r="123" spans="1:14" x14ac:dyDescent="0.35">
      <c r="A123">
        <f>A122+1</f>
        <v>86</v>
      </c>
      <c r="C123">
        <v>5.25</v>
      </c>
      <c r="D123" t="s">
        <v>97</v>
      </c>
      <c r="E123">
        <v>86</v>
      </c>
      <c r="F123" s="4">
        <v>5.25</v>
      </c>
      <c r="G123" s="5" t="str" cm="1">
        <f t="array" aca="1" ref="G123" ca="1">IFERROR(LEFT(C123,_xlfn.AGGREGATE(15,6,ROW(INDIRECT("1:"&amp;LEN(C123)+1))/(ISERROR(MID(C123&amp;" ",ROW(INDIRECT("1:"&amp;LEN(C123)+1)),1)*1)*(MID(C123&amp;" ",ROW(INDIRECT("1:"&amp;LEN(C123)+1)),1)&lt;&gt;".")*(MID(C123&amp;" ",ROW(INDIRECT("1:"&amp;LEN(C123)+1)),1)&lt;&gt;"-")),1)-1),C123)</f>
        <v>5.25</v>
      </c>
      <c r="H123" t="str">
        <f>IF(ISNUMBER(SEARCH("easy",C123)),"easy",IF(ISNUMBER(SEARCH("medium",C123)),"medium",IF(ISNUMBER(SEARCH("moderate",C123)),"moderate",IF(ISNUMBER(SEARCH("hard",C123)),"hard",""))))</f>
        <v/>
      </c>
      <c r="I123" t="s">
        <v>115</v>
      </c>
      <c r="J123" s="3">
        <f>100+MOD(A123,10)</f>
        <v>106</v>
      </c>
      <c r="N123" s="1" t="str">
        <f ca="1">IF(IFERROR(VALUE(G123),G123)&lt;&gt;IFERROR(VALUE(F123),F123),"ERROR","")</f>
        <v/>
      </c>
    </row>
    <row r="124" spans="1:14" x14ac:dyDescent="0.35">
      <c r="A124">
        <f>A123+1</f>
        <v>87</v>
      </c>
      <c r="C124">
        <v>-1.125</v>
      </c>
      <c r="D124" t="s">
        <v>98</v>
      </c>
      <c r="E124">
        <v>87</v>
      </c>
      <c r="F124" s="4">
        <v>-1.125</v>
      </c>
      <c r="G124" s="5" t="str" cm="1">
        <f t="array" aca="1" ref="G124" ca="1">IFERROR(LEFT(C124,_xlfn.AGGREGATE(15,6,ROW(INDIRECT("1:"&amp;LEN(C124)+1))/(ISERROR(MID(C124&amp;" ",ROW(INDIRECT("1:"&amp;LEN(C124)+1)),1)*1)*(MID(C124&amp;" ",ROW(INDIRECT("1:"&amp;LEN(C124)+1)),1)&lt;&gt;".")*(MID(C124&amp;" ",ROW(INDIRECT("1:"&amp;LEN(C124)+1)),1)&lt;&gt;"-")),1)-1),C124)</f>
        <v>-1.125</v>
      </c>
      <c r="H124" t="str">
        <f>IF(ISNUMBER(SEARCH("easy",C124)),"easy",IF(ISNUMBER(SEARCH("medium",C124)),"medium",IF(ISNUMBER(SEARCH("moderate",C124)),"moderate",IF(ISNUMBER(SEARCH("hard",C124)),"hard",""))))</f>
        <v/>
      </c>
      <c r="I124" t="s">
        <v>115</v>
      </c>
      <c r="J124" s="3">
        <f>100+MOD(A124,10)</f>
        <v>107</v>
      </c>
      <c r="N124" s="1" t="str">
        <f ca="1">IF(IFERROR(VALUE(G124),G124)&lt;&gt;IFERROR(VALUE(F124),F124),"ERROR","")</f>
        <v/>
      </c>
    </row>
    <row r="125" spans="1:14" x14ac:dyDescent="0.35">
      <c r="A125">
        <f>A124+1</f>
        <v>88</v>
      </c>
      <c r="C125">
        <v>2</v>
      </c>
      <c r="D125" t="s">
        <v>99</v>
      </c>
      <c r="E125">
        <v>88</v>
      </c>
      <c r="F125" s="4">
        <v>2</v>
      </c>
      <c r="G125" s="5" t="str" cm="1">
        <f t="array" aca="1" ref="G125" ca="1">IFERROR(LEFT(C125,_xlfn.AGGREGATE(15,6,ROW(INDIRECT("1:"&amp;LEN(C125)+1))/(ISERROR(MID(C125&amp;" ",ROW(INDIRECT("1:"&amp;LEN(C125)+1)),1)*1)*(MID(C125&amp;" ",ROW(INDIRECT("1:"&amp;LEN(C125)+1)),1)&lt;&gt;".")*(MID(C125&amp;" ",ROW(INDIRECT("1:"&amp;LEN(C125)+1)),1)&lt;&gt;"-")),1)-1),C125)</f>
        <v>2</v>
      </c>
      <c r="H125" t="str">
        <f>IF(ISNUMBER(SEARCH("easy",C125)),"easy",IF(ISNUMBER(SEARCH("medium",C125)),"medium",IF(ISNUMBER(SEARCH("moderate",C125)),"moderate",IF(ISNUMBER(SEARCH("hard",C125)),"hard",""))))</f>
        <v/>
      </c>
      <c r="I125" t="s">
        <v>115</v>
      </c>
      <c r="J125" s="3">
        <f>100+MOD(A125,10)</f>
        <v>108</v>
      </c>
      <c r="N125" s="1" t="str">
        <f ca="1">IF(IFERROR(VALUE(G125),G125)&lt;&gt;IFERROR(VALUE(F125),F125),"ERROR","")</f>
        <v/>
      </c>
    </row>
    <row r="126" spans="1:14" x14ac:dyDescent="0.35">
      <c r="A126">
        <f>A125+1</f>
        <v>89</v>
      </c>
      <c r="C126">
        <v>0.55500000000000005</v>
      </c>
      <c r="D126" t="s">
        <v>100</v>
      </c>
      <c r="E126">
        <v>89</v>
      </c>
      <c r="F126" s="4">
        <v>0.55500000000000005</v>
      </c>
      <c r="G126" s="5" t="str" cm="1">
        <f t="array" aca="1" ref="G126" ca="1">IFERROR(LEFT(C126,_xlfn.AGGREGATE(15,6,ROW(INDIRECT("1:"&amp;LEN(C126)+1))/(ISERROR(MID(C126&amp;" ",ROW(INDIRECT("1:"&amp;LEN(C126)+1)),1)*1)*(MID(C126&amp;" ",ROW(INDIRECT("1:"&amp;LEN(C126)+1)),1)&lt;&gt;".")*(MID(C126&amp;" ",ROW(INDIRECT("1:"&amp;LEN(C126)+1)),1)&lt;&gt;"-")),1)-1),C126)</f>
        <v>0.555</v>
      </c>
      <c r="H126" t="str">
        <f>IF(ISNUMBER(SEARCH("easy",C126)),"easy",IF(ISNUMBER(SEARCH("medium",C126)),"medium",IF(ISNUMBER(SEARCH("moderate",C126)),"moderate",IF(ISNUMBER(SEARCH("hard",C126)),"hard",""))))</f>
        <v/>
      </c>
      <c r="I126" t="s">
        <v>115</v>
      </c>
      <c r="J126" s="3">
        <f>100+MOD(A126,10)</f>
        <v>109</v>
      </c>
      <c r="N126" s="1" t="str">
        <f ca="1">IF(IFERROR(VALUE(G126),G126)&lt;&gt;IFERROR(VALUE(F126),F126),"ERROR","")</f>
        <v/>
      </c>
    </row>
    <row r="127" spans="1:14" x14ac:dyDescent="0.35">
      <c r="A127">
        <f>A126+1</f>
        <v>90</v>
      </c>
      <c r="C127">
        <v>756</v>
      </c>
      <c r="D127" t="s">
        <v>101</v>
      </c>
      <c r="E127">
        <v>90</v>
      </c>
      <c r="F127" s="4">
        <v>756</v>
      </c>
      <c r="G127" s="5" t="str" cm="1">
        <f t="array" aca="1" ref="G127" ca="1">IFERROR(LEFT(C127,_xlfn.AGGREGATE(15,6,ROW(INDIRECT("1:"&amp;LEN(C127)+1))/(ISERROR(MID(C127&amp;" ",ROW(INDIRECT("1:"&amp;LEN(C127)+1)),1)*1)*(MID(C127&amp;" ",ROW(INDIRECT("1:"&amp;LEN(C127)+1)),1)&lt;&gt;".")*(MID(C127&amp;" ",ROW(INDIRECT("1:"&amp;LEN(C127)+1)),1)&lt;&gt;"-")),1)-1),C127)</f>
        <v>756</v>
      </c>
      <c r="H127" t="str">
        <f>IF(ISNUMBER(SEARCH("easy",C127)),"easy",IF(ISNUMBER(SEARCH("medium",C127)),"medium",IF(ISNUMBER(SEARCH("moderate",C127)),"moderate",IF(ISNUMBER(SEARCH("hard",C127)),"hard",""))))</f>
        <v/>
      </c>
      <c r="I127" t="s">
        <v>115</v>
      </c>
      <c r="J127" s="3">
        <f>100+MOD(A127,10)</f>
        <v>100</v>
      </c>
      <c r="N127" s="1" t="str">
        <f ca="1">IF(IFERROR(VALUE(G127),G127)&lt;&gt;IFERROR(VALUE(F127),F127),"ERROR","")</f>
        <v/>
      </c>
    </row>
    <row r="128" spans="1:14" x14ac:dyDescent="0.35">
      <c r="A128">
        <f>A127+1</f>
        <v>91</v>
      </c>
      <c r="C128">
        <v>116.6</v>
      </c>
      <c r="D128" t="s">
        <v>102</v>
      </c>
      <c r="E128">
        <v>91</v>
      </c>
      <c r="F128" s="4">
        <v>116.6</v>
      </c>
      <c r="G128" s="5" t="str" cm="1">
        <f t="array" aca="1" ref="G128" ca="1">IFERROR(LEFT(C128,_xlfn.AGGREGATE(15,6,ROW(INDIRECT("1:"&amp;LEN(C128)+1))/(ISERROR(MID(C128&amp;" ",ROW(INDIRECT("1:"&amp;LEN(C128)+1)),1)*1)*(MID(C128&amp;" ",ROW(INDIRECT("1:"&amp;LEN(C128)+1)),1)&lt;&gt;".")*(MID(C128&amp;" ",ROW(INDIRECT("1:"&amp;LEN(C128)+1)),1)&lt;&gt;"-")),1)-1),C128)</f>
        <v>116.6</v>
      </c>
      <c r="H128" t="str">
        <f>IF(ISNUMBER(SEARCH("easy",C128)),"easy",IF(ISNUMBER(SEARCH("medium",C128)),"medium",IF(ISNUMBER(SEARCH("moderate",C128)),"moderate",IF(ISNUMBER(SEARCH("hard",C128)),"hard",""))))</f>
        <v/>
      </c>
      <c r="I128" t="s">
        <v>115</v>
      </c>
      <c r="J128" s="3">
        <f>100+MOD(A128,10)</f>
        <v>101</v>
      </c>
      <c r="N128" s="1" t="str">
        <f ca="1">IF(IFERROR(VALUE(G128),G128)&lt;&gt;IFERROR(VALUE(F128),F128),"ERROR","")</f>
        <v/>
      </c>
    </row>
    <row r="129" spans="1:14" x14ac:dyDescent="0.35">
      <c r="A129">
        <f>A128+1</f>
        <v>92</v>
      </c>
      <c r="C129">
        <v>290</v>
      </c>
      <c r="D129" t="s">
        <v>103</v>
      </c>
      <c r="E129">
        <v>92</v>
      </c>
      <c r="F129" s="4">
        <v>290</v>
      </c>
      <c r="G129" s="5" t="str" cm="1">
        <f t="array" aca="1" ref="G129" ca="1">IFERROR(LEFT(C129,_xlfn.AGGREGATE(15,6,ROW(INDIRECT("1:"&amp;LEN(C129)+1))/(ISERROR(MID(C129&amp;" ",ROW(INDIRECT("1:"&amp;LEN(C129)+1)),1)*1)*(MID(C129&amp;" ",ROW(INDIRECT("1:"&amp;LEN(C129)+1)),1)&lt;&gt;".")*(MID(C129&amp;" ",ROW(INDIRECT("1:"&amp;LEN(C129)+1)),1)&lt;&gt;"-")),1)-1),C129)</f>
        <v>290</v>
      </c>
      <c r="H129" t="str">
        <f>IF(ISNUMBER(SEARCH("easy",C129)),"easy",IF(ISNUMBER(SEARCH("medium",C129)),"medium",IF(ISNUMBER(SEARCH("moderate",C129)),"moderate",IF(ISNUMBER(SEARCH("hard",C129)),"hard",""))))</f>
        <v/>
      </c>
      <c r="I129" t="s">
        <v>115</v>
      </c>
      <c r="J129" s="3">
        <f>100+MOD(A129,10)</f>
        <v>102</v>
      </c>
      <c r="N129" s="1" t="str">
        <f ca="1">IF(IFERROR(VALUE(G129),G129)&lt;&gt;IFERROR(VALUE(F129),F129),"ERROR","")</f>
        <v/>
      </c>
    </row>
    <row r="130" spans="1:14" x14ac:dyDescent="0.35">
      <c r="A130">
        <f>A129+1</f>
        <v>93</v>
      </c>
      <c r="C130">
        <v>2.36</v>
      </c>
      <c r="D130" t="s">
        <v>104</v>
      </c>
      <c r="E130">
        <v>93</v>
      </c>
      <c r="F130" s="4">
        <v>2.36</v>
      </c>
      <c r="G130" s="5" t="str" cm="1">
        <f t="array" aca="1" ref="G130" ca="1">IFERROR(LEFT(C130,_xlfn.AGGREGATE(15,6,ROW(INDIRECT("1:"&amp;LEN(C130)+1))/(ISERROR(MID(C130&amp;" ",ROW(INDIRECT("1:"&amp;LEN(C130)+1)),1)*1)*(MID(C130&amp;" ",ROW(INDIRECT("1:"&amp;LEN(C130)+1)),1)&lt;&gt;".")*(MID(C130&amp;" ",ROW(INDIRECT("1:"&amp;LEN(C130)+1)),1)&lt;&gt;"-")),1)-1),C130)</f>
        <v>2.36</v>
      </c>
      <c r="H130" t="str">
        <f>IF(ISNUMBER(SEARCH("easy",C130)),"easy",IF(ISNUMBER(SEARCH("medium",C130)),"medium",IF(ISNUMBER(SEARCH("moderate",C130)),"moderate",IF(ISNUMBER(SEARCH("hard",C130)),"hard",""))))</f>
        <v/>
      </c>
      <c r="I130" t="s">
        <v>115</v>
      </c>
      <c r="J130" s="3">
        <f>100+MOD(A130,10)</f>
        <v>103</v>
      </c>
      <c r="N130" s="1" t="str">
        <f ca="1">IF(IFERROR(VALUE(G130),G130)&lt;&gt;IFERROR(VALUE(F130),F130),"ERROR","")</f>
        <v/>
      </c>
    </row>
    <row r="131" spans="1:14" x14ac:dyDescent="0.35">
      <c r="A131">
        <f>A130+1</f>
        <v>94</v>
      </c>
      <c r="C131">
        <v>305.3</v>
      </c>
      <c r="D131" t="s">
        <v>105</v>
      </c>
      <c r="E131">
        <v>94</v>
      </c>
      <c r="F131" s="4">
        <v>305.3</v>
      </c>
      <c r="G131" s="5" t="str" cm="1">
        <f t="array" aca="1" ref="G131" ca="1">IFERROR(LEFT(C131,_xlfn.AGGREGATE(15,6,ROW(INDIRECT("1:"&amp;LEN(C131)+1))/(ISERROR(MID(C131&amp;" ",ROW(INDIRECT("1:"&amp;LEN(C131)+1)),1)*1)*(MID(C131&amp;" ",ROW(INDIRECT("1:"&amp;LEN(C131)+1)),1)&lt;&gt;".")*(MID(C131&amp;" ",ROW(INDIRECT("1:"&amp;LEN(C131)+1)),1)&lt;&gt;"-")),1)-1),C131)</f>
        <v>305.3</v>
      </c>
      <c r="H131" t="str">
        <f>IF(ISNUMBER(SEARCH("easy",C131)),"easy",IF(ISNUMBER(SEARCH("medium",C131)),"medium",IF(ISNUMBER(SEARCH("moderate",C131)),"moderate",IF(ISNUMBER(SEARCH("hard",C131)),"hard",""))))</f>
        <v/>
      </c>
      <c r="I131" t="s">
        <v>115</v>
      </c>
      <c r="J131" s="3">
        <f>100+MOD(A131,10)</f>
        <v>104</v>
      </c>
      <c r="N131" s="1" t="str">
        <f ca="1">IF(IFERROR(VALUE(G131),G131)&lt;&gt;IFERROR(VALUE(F131),F131),"ERROR","")</f>
        <v/>
      </c>
    </row>
    <row r="132" spans="1:14" x14ac:dyDescent="0.35">
      <c r="A132">
        <f>A131+1</f>
        <v>95</v>
      </c>
      <c r="C132">
        <v>278.10000000000002</v>
      </c>
      <c r="D132" t="s">
        <v>106</v>
      </c>
      <c r="E132">
        <v>95</v>
      </c>
      <c r="F132" s="4">
        <v>278.10000000000002</v>
      </c>
      <c r="G132" s="5" t="str" cm="1">
        <f t="array" aca="1" ref="G132" ca="1">IFERROR(LEFT(C132,_xlfn.AGGREGATE(15,6,ROW(INDIRECT("1:"&amp;LEN(C132)+1))/(ISERROR(MID(C132&amp;" ",ROW(INDIRECT("1:"&amp;LEN(C132)+1)),1)*1)*(MID(C132&amp;" ",ROW(INDIRECT("1:"&amp;LEN(C132)+1)),1)&lt;&gt;".")*(MID(C132&amp;" ",ROW(INDIRECT("1:"&amp;LEN(C132)+1)),1)&lt;&gt;"-")),1)-1),C132)</f>
        <v>278.1</v>
      </c>
      <c r="H132" t="str">
        <f>IF(ISNUMBER(SEARCH("easy",C132)),"easy",IF(ISNUMBER(SEARCH("medium",C132)),"medium",IF(ISNUMBER(SEARCH("moderate",C132)),"moderate",IF(ISNUMBER(SEARCH("hard",C132)),"hard",""))))</f>
        <v/>
      </c>
      <c r="I132" t="s">
        <v>115</v>
      </c>
      <c r="J132" s="3">
        <f>100+MOD(A132,10)</f>
        <v>105</v>
      </c>
      <c r="N132" s="1" t="str">
        <f ca="1">IF(IFERROR(VALUE(G132),G132)&lt;&gt;IFERROR(VALUE(F132),F132),"ERROR","")</f>
        <v/>
      </c>
    </row>
    <row r="133" spans="1:14" x14ac:dyDescent="0.35">
      <c r="A133">
        <f>A132+1</f>
        <v>96</v>
      </c>
      <c r="C133">
        <v>43</v>
      </c>
      <c r="D133" t="s">
        <v>107</v>
      </c>
      <c r="E133">
        <v>96</v>
      </c>
      <c r="F133" s="4">
        <v>43</v>
      </c>
      <c r="G133" s="5" t="str" cm="1">
        <f t="array" aca="1" ref="G133" ca="1">IFERROR(LEFT(C133,_xlfn.AGGREGATE(15,6,ROW(INDIRECT("1:"&amp;LEN(C133)+1))/(ISERROR(MID(C133&amp;" ",ROW(INDIRECT("1:"&amp;LEN(C133)+1)),1)*1)*(MID(C133&amp;" ",ROW(INDIRECT("1:"&amp;LEN(C133)+1)),1)&lt;&gt;".")*(MID(C133&amp;" ",ROW(INDIRECT("1:"&amp;LEN(C133)+1)),1)&lt;&gt;"-")),1)-1),C133)</f>
        <v>43</v>
      </c>
      <c r="H133" t="str">
        <f>IF(ISNUMBER(SEARCH("easy",C133)),"easy",IF(ISNUMBER(SEARCH("medium",C133)),"medium",IF(ISNUMBER(SEARCH("moderate",C133)),"moderate",IF(ISNUMBER(SEARCH("hard",C133)),"hard",""))))</f>
        <v/>
      </c>
      <c r="I133" t="s">
        <v>115</v>
      </c>
      <c r="J133" s="3">
        <f>100+MOD(A133,10)</f>
        <v>106</v>
      </c>
      <c r="N133" s="1" t="str">
        <f ca="1">IF(IFERROR(VALUE(G133),G133)&lt;&gt;IFERROR(VALUE(F133),F133),"ERROR","")</f>
        <v/>
      </c>
    </row>
    <row r="134" spans="1:14" x14ac:dyDescent="0.35">
      <c r="A134">
        <f>A133+1</f>
        <v>97</v>
      </c>
      <c r="C134">
        <v>28</v>
      </c>
      <c r="D134" t="s">
        <v>108</v>
      </c>
      <c r="E134">
        <v>97</v>
      </c>
      <c r="F134" s="4">
        <v>28</v>
      </c>
      <c r="G134" s="5" t="str" cm="1">
        <f t="array" aca="1" ref="G134" ca="1">IFERROR(LEFT(C134,_xlfn.AGGREGATE(15,6,ROW(INDIRECT("1:"&amp;LEN(C134)+1))/(ISERROR(MID(C134&amp;" ",ROW(INDIRECT("1:"&amp;LEN(C134)+1)),1)*1)*(MID(C134&amp;" ",ROW(INDIRECT("1:"&amp;LEN(C134)+1)),1)&lt;&gt;".")*(MID(C134&amp;" ",ROW(INDIRECT("1:"&amp;LEN(C134)+1)),1)&lt;&gt;"-")),1)-1),C134)</f>
        <v>28</v>
      </c>
      <c r="H134" t="str">
        <f>IF(ISNUMBER(SEARCH("easy",C134)),"easy",IF(ISNUMBER(SEARCH("medium",C134)),"medium",IF(ISNUMBER(SEARCH("moderate",C134)),"moderate",IF(ISNUMBER(SEARCH("hard",C134)),"hard",""))))</f>
        <v/>
      </c>
      <c r="I134" t="s">
        <v>115</v>
      </c>
      <c r="J134" s="3">
        <f>100+MOD(A134,10)</f>
        <v>107</v>
      </c>
      <c r="N134" s="1" t="str">
        <f ca="1">IF(IFERROR(VALUE(G134),G134)&lt;&gt;IFERROR(VALUE(F134),F134),"ERROR","")</f>
        <v/>
      </c>
    </row>
    <row r="135" spans="1:14" x14ac:dyDescent="0.35">
      <c r="A135">
        <f>A134+1</f>
        <v>98</v>
      </c>
      <c r="C135">
        <v>0.98299999999999998</v>
      </c>
      <c r="D135" t="s">
        <v>109</v>
      </c>
      <c r="E135">
        <v>98</v>
      </c>
      <c r="F135" s="4">
        <v>0.98299999999999998</v>
      </c>
      <c r="G135" s="5" t="str" cm="1">
        <f t="array" aca="1" ref="G135" ca="1">IFERROR(LEFT(C135,_xlfn.AGGREGATE(15,6,ROW(INDIRECT("1:"&amp;LEN(C135)+1))/(ISERROR(MID(C135&amp;" ",ROW(INDIRECT("1:"&amp;LEN(C135)+1)),1)*1)*(MID(C135&amp;" ",ROW(INDIRECT("1:"&amp;LEN(C135)+1)),1)&lt;&gt;".")*(MID(C135&amp;" ",ROW(INDIRECT("1:"&amp;LEN(C135)+1)),1)&lt;&gt;"-")),1)-1),C135)</f>
        <v>0.983</v>
      </c>
      <c r="H135" t="str">
        <f>IF(ISNUMBER(SEARCH("easy",C135)),"easy",IF(ISNUMBER(SEARCH("medium",C135)),"medium",IF(ISNUMBER(SEARCH("moderate",C135)),"moderate",IF(ISNUMBER(SEARCH("hard",C135)),"hard",""))))</f>
        <v/>
      </c>
      <c r="I135" t="s">
        <v>115</v>
      </c>
      <c r="J135" s="3">
        <f>100+MOD(A135,10)</f>
        <v>108</v>
      </c>
      <c r="N135" s="1" t="str">
        <f ca="1">IF(IFERROR(VALUE(G135),G135)&lt;&gt;IFERROR(VALUE(F135),F135),"ERROR","")</f>
        <v/>
      </c>
    </row>
    <row r="136" spans="1:14" x14ac:dyDescent="0.35">
      <c r="A136">
        <f>A135+1</f>
        <v>99</v>
      </c>
      <c r="C136">
        <v>414</v>
      </c>
      <c r="D136" t="s">
        <v>110</v>
      </c>
      <c r="E136">
        <v>99</v>
      </c>
      <c r="F136" s="4">
        <v>414</v>
      </c>
      <c r="G136" s="5" t="str" cm="1">
        <f t="array" aca="1" ref="G136" ca="1">IFERROR(LEFT(C136,_xlfn.AGGREGATE(15,6,ROW(INDIRECT("1:"&amp;LEN(C136)+1))/(ISERROR(MID(C136&amp;" ",ROW(INDIRECT("1:"&amp;LEN(C136)+1)),1)*1)*(MID(C136&amp;" ",ROW(INDIRECT("1:"&amp;LEN(C136)+1)),1)&lt;&gt;".")*(MID(C136&amp;" ",ROW(INDIRECT("1:"&amp;LEN(C136)+1)),1)&lt;&gt;"-")),1)-1),C136)</f>
        <v>414</v>
      </c>
      <c r="H136" t="str">
        <f>IF(ISNUMBER(SEARCH("easy",C136)),"easy",IF(ISNUMBER(SEARCH("medium",C136)),"medium",IF(ISNUMBER(SEARCH("moderate",C136)),"moderate",IF(ISNUMBER(SEARCH("hard",C136)),"hard",""))))</f>
        <v/>
      </c>
      <c r="I136" t="s">
        <v>115</v>
      </c>
      <c r="J136" s="3">
        <f>100+MOD(A136,10)</f>
        <v>109</v>
      </c>
      <c r="N136" s="1" t="str">
        <f ca="1">IF(IFERROR(VALUE(G136),G136)&lt;&gt;IFERROR(VALUE(F136),F136),"ERROR","")</f>
        <v/>
      </c>
    </row>
  </sheetData>
  <autoFilter ref="A1:Q136">
    <sortState ref="A2:Q136">
      <sortCondition descending="1" ref="H1:H13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2026-03-21T15:18:08Z</dcterms:modified>
</cp:coreProperties>
</file>