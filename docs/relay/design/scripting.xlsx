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js\games\docs\relay\design\"/>
    </mc:Choice>
  </mc:AlternateContent>
  <bookViews>
    <workbookView xWindow="-110" yWindow="-110" windowWidth="23260" windowHeight="12580"/>
  </bookViews>
  <sheets>
    <sheet name="sheetwithani" sheetId="3" r:id="rId1"/>
    <sheet name="conventions" sheetId="4" r:id="rId2"/>
    <sheet name="bad" sheetId="1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3" l="1"/>
  <c r="B23" i="3"/>
  <c r="B24" i="3"/>
  <c r="B25" i="3"/>
  <c r="B26" i="3"/>
  <c r="Q22" i="3"/>
  <c r="Q23" i="3"/>
  <c r="Q24" i="3"/>
  <c r="Q25" i="3"/>
  <c r="Q26" i="3"/>
  <c r="Q4" i="3" l="1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7" i="3"/>
  <c r="Q28" i="3"/>
  <c r="Q29" i="3"/>
  <c r="Q30" i="3"/>
  <c r="Q31" i="3"/>
  <c r="Q32" i="3"/>
  <c r="Q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7" i="3"/>
  <c r="B28" i="3"/>
  <c r="B29" i="3"/>
  <c r="B30" i="3"/>
  <c r="B31" i="3"/>
  <c r="B32" i="3"/>
  <c r="B33" i="3"/>
  <c r="B34" i="3"/>
  <c r="B35" i="3"/>
  <c r="B36" i="3"/>
  <c r="B37" i="3"/>
  <c r="B38" i="3"/>
  <c r="Q33" i="3"/>
  <c r="Q34" i="3"/>
  <c r="Q35" i="3"/>
  <c r="Q36" i="3"/>
  <c r="Q37" i="3"/>
  <c r="Q38" i="3"/>
  <c r="L2" i="3" l="1"/>
  <c r="K2" i="3"/>
  <c r="J2" i="3"/>
  <c r="I2" i="3"/>
  <c r="H2" i="3"/>
  <c r="C16" i="1" l="1"/>
  <c r="S16" i="1"/>
  <c r="C15" i="1"/>
  <c r="S15" i="1"/>
  <c r="S6" i="1"/>
  <c r="S7" i="1"/>
  <c r="S8" i="1"/>
  <c r="S9" i="1"/>
  <c r="S10" i="1"/>
  <c r="S11" i="1"/>
  <c r="S12" i="1"/>
  <c r="S13" i="1"/>
  <c r="S14" i="1"/>
  <c r="S17" i="1"/>
  <c r="S18" i="1"/>
  <c r="S19" i="1"/>
  <c r="S20" i="1"/>
  <c r="S21" i="1"/>
  <c r="S22" i="1"/>
  <c r="S23" i="1"/>
  <c r="S5" i="1"/>
  <c r="C14" i="1"/>
  <c r="C24" i="1"/>
  <c r="C25" i="1"/>
  <c r="C26" i="1"/>
  <c r="C27" i="1"/>
  <c r="C28" i="1"/>
  <c r="C29" i="1"/>
  <c r="C30" i="1"/>
  <c r="C31" i="1"/>
  <c r="B24" i="1"/>
  <c r="B25" i="1"/>
  <c r="B26" i="1"/>
  <c r="B27" i="1"/>
  <c r="B28" i="1"/>
  <c r="B29" i="1"/>
  <c r="B30" i="1"/>
  <c r="B31" i="1"/>
  <c r="Z2" i="1"/>
  <c r="Y2" i="1"/>
  <c r="X2" i="1"/>
  <c r="W2" i="1"/>
  <c r="V2" i="1"/>
  <c r="U2" i="1"/>
  <c r="T2" i="1"/>
  <c r="S2" i="1"/>
  <c r="R2" i="1"/>
  <c r="O2" i="1"/>
  <c r="N2" i="1"/>
  <c r="M2" i="1"/>
  <c r="L2" i="1"/>
  <c r="K2" i="1"/>
  <c r="J2" i="1"/>
  <c r="I2" i="1"/>
  <c r="C23" i="1"/>
  <c r="C22" i="1"/>
  <c r="C21" i="1"/>
  <c r="C20" i="1"/>
  <c r="C19" i="1"/>
  <c r="C18" i="1"/>
  <c r="C17" i="1"/>
  <c r="C13" i="1"/>
  <c r="C12" i="1"/>
  <c r="C11" i="1"/>
  <c r="C10" i="1"/>
  <c r="C9" i="1"/>
  <c r="C8" i="1"/>
  <c r="C7" i="1"/>
  <c r="C6" i="1"/>
  <c r="C5" i="1"/>
  <c r="C4" i="1"/>
  <c r="P19" i="1" a="1"/>
  <c r="P3" i="1" a="1"/>
  <c r="P18" i="1" a="1"/>
  <c r="P20" i="1" a="1"/>
  <c r="P8" i="1" a="1"/>
  <c r="P6" i="1" a="1"/>
  <c r="P14" i="1" a="1"/>
  <c r="P9" i="1" a="1"/>
  <c r="P7" i="1" a="1"/>
  <c r="P10" i="1" a="1"/>
  <c r="P22" i="1" a="1"/>
  <c r="P15" i="1" a="1"/>
  <c r="P23" i="1" a="1"/>
  <c r="P21" i="1" a="1"/>
  <c r="P11" i="1" a="1"/>
  <c r="P16" i="1" a="1"/>
  <c r="P17" i="1" a="1"/>
  <c r="P13" i="1" a="1"/>
  <c r="P4" i="1" a="1"/>
  <c r="P5" i="1" a="1"/>
  <c r="P12" i="1" a="1"/>
  <c r="P11" i="1" l="1"/>
  <c r="B11" i="1" s="1"/>
  <c r="P20" i="1"/>
  <c r="B20" i="1" s="1"/>
  <c r="P14" i="1"/>
  <c r="P18" i="1"/>
  <c r="B18" i="1" s="1"/>
  <c r="P13" i="1"/>
  <c r="B13" i="1" s="1"/>
  <c r="P5" i="1"/>
  <c r="B5" i="1" s="1"/>
  <c r="P17" i="1"/>
  <c r="B17" i="1" s="1"/>
  <c r="P23" i="1"/>
  <c r="B23" i="1" s="1"/>
  <c r="P22" i="1"/>
  <c r="B22" i="1" s="1"/>
  <c r="P7" i="1"/>
  <c r="B7" i="1" s="1"/>
  <c r="P6" i="1"/>
  <c r="B6" i="1" s="1"/>
  <c r="P3" i="1"/>
  <c r="P12" i="1"/>
  <c r="B12" i="1" s="1"/>
  <c r="P4" i="1"/>
  <c r="B4" i="1" s="1"/>
  <c r="P16" i="1"/>
  <c r="P15" i="1"/>
  <c r="P10" i="1"/>
  <c r="B10" i="1" s="1"/>
  <c r="P9" i="1"/>
  <c r="B9" i="1" s="1"/>
  <c r="P8" i="1"/>
  <c r="B8" i="1" s="1"/>
  <c r="P19" i="1"/>
  <c r="B19" i="1" s="1"/>
  <c r="P21" i="1"/>
  <c r="B21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<sst xmlns="http://schemas.openxmlformats.org/spreadsheetml/2006/main" count="227" uniqueCount="137">
  <si>
    <t>firstletter</t>
  </si>
  <si>
    <t>reactor</t>
  </si>
  <si>
    <t>energy</t>
  </si>
  <si>
    <t>water</t>
  </si>
  <si>
    <t>food</t>
  </si>
  <si>
    <t>comms</t>
  </si>
  <si>
    <t>question</t>
  </si>
  <si>
    <t>parts</t>
  </si>
  <si>
    <t>delay</t>
  </si>
  <si>
    <t>VALUE</t>
  </si>
  <si>
    <t>titanium</t>
  </si>
  <si>
    <t>alloy</t>
  </si>
  <si>
    <t>scrapyard</t>
  </si>
  <si>
    <t>metals</t>
  </si>
  <si>
    <t>JOINED</t>
  </si>
  <si>
    <t>terminal</t>
  </si>
  <si>
    <t>pretty</t>
  </si>
  <si>
    <t>action</t>
  </si>
  <si>
    <t>Reactor</t>
  </si>
  <si>
    <t>Hydroponics</t>
  </si>
  <si>
    <t>Fabricator</t>
  </si>
  <si>
    <t>Scrapyard</t>
  </si>
  <si>
    <t>Solar Array</t>
  </si>
  <si>
    <t>Water recycler</t>
  </si>
  <si>
    <t>Cargo bay</t>
  </si>
  <si>
    <t>Comms array</t>
  </si>
  <si>
    <t>Medical bay</t>
  </si>
  <si>
    <t>Life support</t>
  </si>
  <si>
    <t>Machine shop</t>
  </si>
  <si>
    <t>Shuttle bay</t>
  </si>
  <si>
    <t>Mining station</t>
  </si>
  <si>
    <t>Data vault</t>
  </si>
  <si>
    <t>Supply depot</t>
  </si>
  <si>
    <t>Fusion core</t>
  </si>
  <si>
    <t>Alloy plant</t>
  </si>
  <si>
    <t>Research lab</t>
  </si>
  <si>
    <t>CAPTURE</t>
  </si>
  <si>
    <t>USE</t>
  </si>
  <si>
    <t>REPAIR</t>
  </si>
  <si>
    <t>Upgrade center</t>
  </si>
  <si>
    <t>ACCESS KEY NEEDED</t>
  </si>
  <si>
    <t>hydro</t>
  </si>
  <si>
    <t>cargo</t>
  </si>
  <si>
    <t>med</t>
  </si>
  <si>
    <t>life</t>
  </si>
  <si>
    <t>machine</t>
  </si>
  <si>
    <t>shuttle</t>
  </si>
  <si>
    <t>door</t>
  </si>
  <si>
    <t>mining</t>
  </si>
  <si>
    <t>data</t>
  </si>
  <si>
    <t>supply</t>
  </si>
  <si>
    <t>fusion</t>
  </si>
  <si>
    <t>research</t>
  </si>
  <si>
    <t>solar</t>
  </si>
  <si>
    <t>access</t>
  </si>
  <si>
    <t>fab</t>
  </si>
  <si>
    <t>Life Support</t>
  </si>
  <si>
    <t>anti</t>
  </si>
  <si>
    <t>Antimatter Chamber</t>
  </si>
  <si>
    <t>Water Recycler</t>
  </si>
  <si>
    <t>Homebase</t>
  </si>
  <si>
    <t>antimatter</t>
  </si>
  <si>
    <t>homebase</t>
  </si>
  <si>
    <t>utility</t>
  </si>
  <si>
    <t>Hostile</t>
  </si>
  <si>
    <t>Note</t>
  </si>
  <si>
    <t>JOINED:</t>
  </si>
  <si>
    <t>base</t>
  </si>
  <si>
    <t>upgrade1</t>
  </si>
  <si>
    <t>upgrade2</t>
  </si>
  <si>
    <t>upgrade3</t>
  </si>
  <si>
    <t>obs</t>
  </si>
  <si>
    <t>Observatory</t>
  </si>
  <si>
    <t>WORLDMAP</t>
  </si>
  <si>
    <t>Prerequisite</t>
  </si>
  <si>
    <t>fab,med,anti</t>
  </si>
  <si>
    <t>hazard</t>
  </si>
  <si>
    <t>CLAIM</t>
  </si>
  <si>
    <t>Antimatter traces</t>
  </si>
  <si>
    <t>upgrade</t>
  </si>
  <si>
    <t>Damaged door</t>
  </si>
  <si>
    <t>Locked door</t>
  </si>
  <si>
    <t>Description</t>
  </si>
  <si>
    <t>friendly</t>
  </si>
  <si>
    <t>description</t>
  </si>
  <si>
    <t>plants</t>
  </si>
  <si>
    <t>Plants</t>
  </si>
  <si>
    <t>chestenergy</t>
  </si>
  <si>
    <t>chestwater</t>
  </si>
  <si>
    <t>chestfood</t>
  </si>
  <si>
    <t>chestparts</t>
  </si>
  <si>
    <t>Parts box</t>
  </si>
  <si>
    <t>Energy cells</t>
  </si>
  <si>
    <t>Ice blocks</t>
  </si>
  <si>
    <t>Nutrient packs</t>
  </si>
  <si>
    <t>HACK</t>
  </si>
  <si>
    <t>RESTORE</t>
  </si>
  <si>
    <t>fridge</t>
  </si>
  <si>
    <t>Fridge</t>
  </si>
  <si>
    <t>bucket</t>
  </si>
  <si>
    <t>High security door</t>
  </si>
  <si>
    <t>Space Hazard Unit</t>
  </si>
  <si>
    <t>Allows you to explore space.</t>
  </si>
  <si>
    <t>Lets you peek into the endless void of space.</t>
  </si>
  <si>
    <t>TRAVEL</t>
  </si>
  <si>
    <t>SEEUPGRADES</t>
  </si>
  <si>
    <t>delay  = 0 means not a clockwork. Can be interacted with once then deactivates or does not change state. Everything else is a clockwork, producing when first activated then once every minute.</t>
  </si>
  <si>
    <t>firstletter:</t>
  </si>
  <si>
    <t>negative resoruce is an activation requirement (before question is assigned)</t>
  </si>
  <si>
    <t>door_easy</t>
  </si>
  <si>
    <t>door_medium</t>
  </si>
  <si>
    <t>door_hard</t>
  </si>
  <si>
    <t>door_extreme</t>
  </si>
  <si>
    <t>Reinforced door</t>
  </si>
  <si>
    <t>note</t>
  </si>
  <si>
    <t>prereq</t>
  </si>
  <si>
    <t>Travel to new locations!</t>
  </si>
  <si>
    <t>See available upgrades.</t>
  </si>
  <si>
    <t>req hazard on homebase only</t>
  </si>
  <si>
    <t>smallenergy</t>
  </si>
  <si>
    <t>smallwater</t>
  </si>
  <si>
    <t>smallfood</t>
  </si>
  <si>
    <t>smallparts</t>
  </si>
  <si>
    <t>Small battery</t>
  </si>
  <si>
    <t>Small water bottle</t>
  </si>
  <si>
    <t>Small candy bar</t>
  </si>
  <si>
    <t>Small circuits</t>
  </si>
  <si>
    <t>sink</t>
  </si>
  <si>
    <t>Sink</t>
  </si>
  <si>
    <t>shower</t>
  </si>
  <si>
    <t>Shower</t>
  </si>
  <si>
    <t>sofa</t>
  </si>
  <si>
    <t>Sofa</t>
  </si>
  <si>
    <t>table</t>
  </si>
  <si>
    <t>Table</t>
  </si>
  <si>
    <t>water,hydro</t>
  </si>
  <si>
    <t>chestanti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</si>
</sst>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/>
    </xf>
    <xf numFmtId="0" fontId="0" fillId="10" borderId="0" xfId="0" applyFill="1" applyAlignment="1">
      <alignment horizontal="center" vertical="center" textRotation="90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 vertical="center" textRotation="90"/>
    </xf>
    <xf numFmtId="0" fontId="0" fillId="9" borderId="0" xfId="0" applyFill="1" applyAlignment="1">
      <alignment horizontal="center" vertical="center" textRotation="90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b/>
        <i val="0"/>
        <strike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"/>
  <sheetViews>
    <sheetView tabSelected="1" zoomScaleNormal="100" workbookViewId="0">
      <pane xSplit="1" ySplit="3" topLeftCell="B22" activePane="bottomRight" state="frozen"/>
      <selection pane="topRight" activeCell="B1" sqref="B1"/>
      <selection pane="bottomLeft" activeCell="A4" sqref="A4"/>
      <selection pane="bottomRight" activeCell="E13" sqref="E13"/>
    </sheetView>
  </sheetViews>
  <sheetFormatPr defaultRowHeight="14.5" x14ac:dyDescent="0.35"/>
  <cols>
    <col min="1" max="1" width="1.90625" customWidth="1"/>
    <col min="2" max="2" width="4.08984375" customWidth="1"/>
    <col min="3" max="3" width="13" customWidth="1"/>
    <col min="4" max="4" width="5.1796875" customWidth="1"/>
    <col min="5" max="5" width="7" customWidth="1"/>
    <col min="6" max="6" width="20.36328125" customWidth="1"/>
    <col min="7" max="7" width="12.81640625" customWidth="1"/>
    <col min="8" max="12" width="7.08984375" customWidth="1"/>
    <col min="13" max="13" width="30.81640625" customWidth="1"/>
    <col min="14" max="14" width="15.1796875" customWidth="1"/>
    <col min="15" max="15" width="12.1796875" customWidth="1"/>
    <col min="16" max="16" width="15.1796875" customWidth="1"/>
    <col min="17" max="17" width="15.36328125" customWidth="1"/>
  </cols>
  <sheetData>
    <row r="1" spans="1:17" x14ac:dyDescent="0.35">
      <c r="H1" s="14" t="s">
        <v>60</v>
      </c>
      <c r="I1" s="14"/>
      <c r="J1" s="14"/>
      <c r="K1" s="14"/>
      <c r="L1" s="12" t="s">
        <v>64</v>
      </c>
      <c r="M1" t="s">
        <v>82</v>
      </c>
      <c r="N1" t="s">
        <v>65</v>
      </c>
      <c r="O1" t="s">
        <v>74</v>
      </c>
    </row>
    <row r="2" spans="1:17" x14ac:dyDescent="0.35">
      <c r="C2" t="s">
        <v>107</v>
      </c>
      <c r="H2" s="2" t="str">
        <f>LEFT(H3,1)</f>
        <v>e</v>
      </c>
      <c r="I2" s="2" t="str">
        <f t="shared" ref="I2:L2" si="0">LEFT(I3,1)</f>
        <v>w</v>
      </c>
      <c r="J2" s="2" t="str">
        <f t="shared" si="0"/>
        <v>f</v>
      </c>
      <c r="K2" s="2" t="str">
        <f t="shared" si="0"/>
        <v>p</v>
      </c>
      <c r="L2" s="3" t="str">
        <f t="shared" si="0"/>
        <v>a</v>
      </c>
      <c r="P2" t="s">
        <v>66</v>
      </c>
    </row>
    <row r="3" spans="1:17" x14ac:dyDescent="0.35">
      <c r="B3" t="s">
        <v>9</v>
      </c>
      <c r="C3" t="s">
        <v>15</v>
      </c>
      <c r="D3" t="s">
        <v>8</v>
      </c>
      <c r="E3" t="s">
        <v>99</v>
      </c>
      <c r="F3" t="s">
        <v>16</v>
      </c>
      <c r="G3" t="s">
        <v>17</v>
      </c>
      <c r="H3" s="2" t="s">
        <v>2</v>
      </c>
      <c r="I3" s="2" t="s">
        <v>3</v>
      </c>
      <c r="J3" s="2" t="s">
        <v>4</v>
      </c>
      <c r="K3" s="2" t="s">
        <v>7</v>
      </c>
      <c r="L3" s="3" t="s">
        <v>61</v>
      </c>
      <c r="M3" t="s">
        <v>84</v>
      </c>
      <c r="N3" s="3" t="s">
        <v>114</v>
      </c>
      <c r="O3" s="3" t="s">
        <v>115</v>
      </c>
      <c r="Q3" t="e">
        <f>"["&amp;IF(ISNUMBER(C3),C3,IF(C3="",0,CHAR(39)&amp;C3&amp;CHAR(39)))&amp;","&amp;IF(ISNUMBER(D3),D3,IF(D3="",0,CHAR(39)&amp;D3&amp;CHAR(39)))&amp;","&amp;IF(ISNUMBER(E3),E3,IF(E3="",0,CHAR(39)&amp;E3&amp;CHAR(39)))&amp;","&amp;IF(ISNUMBER(F3),F3,IF(F3="",0,CHAR(39)&amp;F3&amp;CHAR(39)))&amp;","&amp;IF(ISNUMBER(G3),G3,IF(G3="",0,CHAR(39)&amp;G3&amp;CHAR(39)))&amp;","&amp;IF(ISNUMBER(H3),H3,IF(H3="",0,CHAR(39)&amp;H3&amp;CHAR(39)))&amp;","&amp;IF(ISNUMBER(I3),I3,IF(I3="",0,CHAR(39)&amp;I3&amp;CHAR(39)))&amp;","&amp;IF(ISNUMBER(J3),J3,IF(J3="",0,CHAR(39)&amp;J3&amp;CHAR(39)))&amp;","&amp;IF(ISNUMBER(K3),K3,IF(K3="",0,CHAR(39)&amp;K3&amp;CHAR(39)))&amp;","&amp;IF(ISNUMBER(L3),L3,IF(L3="",0,CHAR(39)&amp;L3&amp;CHAR(39)))&amp;","&amp;IF(ISNUMBER(#REF!),#REF!,IF(#REF!="",0,CHAR(39)&amp;#REF!&amp;CHAR(39)))&amp;","&amp;IF(ISNUMBER(#REF!),#REF!,IF(#REF!="",0,CHAR(39)&amp;#REF!&amp;CHAR(39)))&amp;","&amp;IF(ISNUMBER(#REF!),#REF!,IF(#REF!="",0,CHAR(39)&amp;#REF!&amp;CHAR(39)))&amp;","&amp;IF(ISNUMBER(M3),M3,IF(M3="",0,CHAR(39)&amp;M3&amp;CHAR(39)))&amp;","&amp;IF(ISNUMBER(N3),N3,IF(N3="",0,CHAR(39)&amp;N3&amp;CHAR(39)))&amp;","&amp;IF(ISNUMBER(O3),O3,IF(O3="",0,CHAR(39)&amp;O3&amp;CHAR(39)))&amp;"],"</f>
        <v>#REF!</v>
      </c>
    </row>
    <row r="4" spans="1:17" x14ac:dyDescent="0.35">
      <c r="A4" s="13" t="s">
        <v>62</v>
      </c>
      <c r="B4">
        <f>SUM(H4:L4)</f>
        <v>50</v>
      </c>
      <c r="C4" s="1" t="s">
        <v>1</v>
      </c>
      <c r="D4">
        <v>15</v>
      </c>
      <c r="E4">
        <v>0</v>
      </c>
      <c r="F4" s="4" t="s">
        <v>18</v>
      </c>
      <c r="G4" t="s">
        <v>38</v>
      </c>
      <c r="H4">
        <v>50</v>
      </c>
      <c r="M4" s="4"/>
      <c r="N4" s="4" t="s">
        <v>67</v>
      </c>
      <c r="Q4" t="e">
        <f>"["&amp;IF(ISNUMBER(C4),C4,IF(C4="",0,CHAR(39)&amp;C4&amp;CHAR(39)))&amp;","&amp;IF(ISNUMBER(D4),D4,IF(D4="",0,CHAR(39)&amp;D4&amp;CHAR(39)))&amp;","&amp;IF(ISNUMBER(E4),E4,IF(E4="",0,CHAR(39)&amp;E4&amp;CHAR(39)))&amp;","&amp;IF(ISNUMBER(F4),F4,IF(F4="",0,CHAR(39)&amp;F4&amp;CHAR(39)))&amp;","&amp;IF(ISNUMBER(G4),G4,IF(G4="",0,CHAR(39)&amp;G4&amp;CHAR(39)))&amp;","&amp;IF(ISNUMBER(H4),H4,IF(H4="",0,CHAR(39)&amp;H4&amp;CHAR(39)))&amp;","&amp;IF(ISNUMBER(I4),I4,IF(I4="",0,CHAR(39)&amp;I4&amp;CHAR(39)))&amp;","&amp;IF(ISNUMBER(J4),J4,IF(J4="",0,CHAR(39)&amp;J4&amp;CHAR(39)))&amp;","&amp;IF(ISNUMBER(K4),K4,IF(K4="",0,CHAR(39)&amp;K4&amp;CHAR(39)))&amp;","&amp;IF(ISNUMBER(L4),L4,IF(L4="",0,CHAR(39)&amp;L4&amp;CHAR(39)))&amp;","&amp;IF(ISNUMBER(#REF!),#REF!,IF(#REF!="",0,CHAR(39)&amp;#REF!&amp;CHAR(39)))&amp;","&amp;IF(ISNUMBER(#REF!),#REF!,IF(#REF!="",0,CHAR(39)&amp;#REF!&amp;CHAR(39)))&amp;","&amp;IF(ISNUMBER(#REF!),#REF!,IF(#REF!="",0,CHAR(39)&amp;#REF!&amp;CHAR(39)))&amp;","&amp;IF(ISNUMBER(M4),M4,IF(M4="",0,CHAR(39)&amp;M4&amp;CHAR(39)))&amp;","&amp;IF(ISNUMBER(N4),N4,IF(N4="",0,CHAR(39)&amp;N4&amp;CHAR(39)))&amp;","&amp;IF(ISNUMBER(O4),O4,IF(O4="",0,CHAR(39)&amp;O4&amp;CHAR(39)))&amp;"],"</f>
        <v>#REF!</v>
      </c>
    </row>
    <row r="5" spans="1:17" x14ac:dyDescent="0.35">
      <c r="A5" s="13"/>
      <c r="B5">
        <f>SUM(H5:L5)</f>
        <v>30</v>
      </c>
      <c r="C5" s="1" t="s">
        <v>53</v>
      </c>
      <c r="D5">
        <v>8</v>
      </c>
      <c r="E5">
        <v>10</v>
      </c>
      <c r="F5" s="5" t="s">
        <v>22</v>
      </c>
      <c r="G5" t="s">
        <v>38</v>
      </c>
      <c r="H5">
        <v>30</v>
      </c>
      <c r="M5" s="5"/>
      <c r="N5" s="5" t="s">
        <v>68</v>
      </c>
      <c r="O5" t="s">
        <v>1</v>
      </c>
      <c r="Q5" t="e">
        <f>"["&amp;IF(ISNUMBER(C5),C5,IF(C5="",0,CHAR(39)&amp;C5&amp;CHAR(39)))&amp;","&amp;IF(ISNUMBER(D5),D5,IF(D5="",0,CHAR(39)&amp;D5&amp;CHAR(39)))&amp;","&amp;IF(ISNUMBER(E5),E5,IF(E5="",0,CHAR(39)&amp;E5&amp;CHAR(39)))&amp;","&amp;IF(ISNUMBER(F5),F5,IF(F5="",0,CHAR(39)&amp;F5&amp;CHAR(39)))&amp;","&amp;IF(ISNUMBER(G5),G5,IF(G5="",0,CHAR(39)&amp;G5&amp;CHAR(39)))&amp;","&amp;IF(ISNUMBER(H5),H5,IF(H5="",0,CHAR(39)&amp;H5&amp;CHAR(39)))&amp;","&amp;IF(ISNUMBER(I5),I5,IF(I5="",0,CHAR(39)&amp;I5&amp;CHAR(39)))&amp;","&amp;IF(ISNUMBER(J5),J5,IF(J5="",0,CHAR(39)&amp;J5&amp;CHAR(39)))&amp;","&amp;IF(ISNUMBER(K5),K5,IF(K5="",0,CHAR(39)&amp;K5&amp;CHAR(39)))&amp;","&amp;IF(ISNUMBER(L5),L5,IF(L5="",0,CHAR(39)&amp;L5&amp;CHAR(39)))&amp;","&amp;IF(ISNUMBER(#REF!),#REF!,IF(#REF!="",0,CHAR(39)&amp;#REF!&amp;CHAR(39)))&amp;","&amp;IF(ISNUMBER(#REF!),#REF!,IF(#REF!="",0,CHAR(39)&amp;#REF!&amp;CHAR(39)))&amp;","&amp;IF(ISNUMBER(#REF!),#REF!,IF(#REF!="",0,CHAR(39)&amp;#REF!&amp;CHAR(39)))&amp;","&amp;IF(ISNUMBER(M5),M5,IF(M5="",0,CHAR(39)&amp;M5&amp;CHAR(39)))&amp;","&amp;IF(ISNUMBER(N5),N5,IF(N5="",0,CHAR(39)&amp;N5&amp;CHAR(39)))&amp;","&amp;IF(ISNUMBER(O5),O5,IF(O5="",0,CHAR(39)&amp;O5&amp;CHAR(39)))&amp;"],"</f>
        <v>#REF!</v>
      </c>
    </row>
    <row r="6" spans="1:17" x14ac:dyDescent="0.35">
      <c r="A6" s="13"/>
      <c r="B6">
        <f>SUM(H6:L6)</f>
        <v>40</v>
      </c>
      <c r="C6" s="1" t="s">
        <v>44</v>
      </c>
      <c r="D6">
        <v>12</v>
      </c>
      <c r="E6">
        <v>0</v>
      </c>
      <c r="F6" s="4" t="s">
        <v>56</v>
      </c>
      <c r="G6" t="s">
        <v>38</v>
      </c>
      <c r="I6">
        <v>20</v>
      </c>
      <c r="J6">
        <v>20</v>
      </c>
      <c r="M6" s="4"/>
      <c r="N6" s="4" t="s">
        <v>67</v>
      </c>
      <c r="Q6" t="e">
        <f>"["&amp;IF(ISNUMBER(C6),C6,IF(C6="",0,CHAR(39)&amp;C6&amp;CHAR(39)))&amp;","&amp;IF(ISNUMBER(D6),D6,IF(D6="",0,CHAR(39)&amp;D6&amp;CHAR(39)))&amp;","&amp;IF(ISNUMBER(E6),E6,IF(E6="",0,CHAR(39)&amp;E6&amp;CHAR(39)))&amp;","&amp;IF(ISNUMBER(F6),F6,IF(F6="",0,CHAR(39)&amp;F6&amp;CHAR(39)))&amp;","&amp;IF(ISNUMBER(G6),G6,IF(G6="",0,CHAR(39)&amp;G6&amp;CHAR(39)))&amp;","&amp;IF(ISNUMBER(H6),H6,IF(H6="",0,CHAR(39)&amp;H6&amp;CHAR(39)))&amp;","&amp;IF(ISNUMBER(I6),I6,IF(I6="",0,CHAR(39)&amp;I6&amp;CHAR(39)))&amp;","&amp;IF(ISNUMBER(J6),J6,IF(J6="",0,CHAR(39)&amp;J6&amp;CHAR(39)))&amp;","&amp;IF(ISNUMBER(K6),K6,IF(K6="",0,CHAR(39)&amp;K6&amp;CHAR(39)))&amp;","&amp;IF(ISNUMBER(L6),L6,IF(L6="",0,CHAR(39)&amp;L6&amp;CHAR(39)))&amp;","&amp;IF(ISNUMBER(#REF!),#REF!,IF(#REF!="",0,CHAR(39)&amp;#REF!&amp;CHAR(39)))&amp;","&amp;IF(ISNUMBER(#REF!),#REF!,IF(#REF!="",0,CHAR(39)&amp;#REF!&amp;CHAR(39)))&amp;","&amp;IF(ISNUMBER(#REF!),#REF!,IF(#REF!="",0,CHAR(39)&amp;#REF!&amp;CHAR(39)))&amp;","&amp;IF(ISNUMBER(M6),M6,IF(M6="",0,CHAR(39)&amp;M6&amp;CHAR(39)))&amp;","&amp;IF(ISNUMBER(N6),N6,IF(N6="",0,CHAR(39)&amp;N6&amp;CHAR(39)))&amp;","&amp;IF(ISNUMBER(O6),O6,IF(O6="",0,CHAR(39)&amp;O6&amp;CHAR(39)))&amp;"],"</f>
        <v>#REF!</v>
      </c>
    </row>
    <row r="7" spans="1:17" x14ac:dyDescent="0.35">
      <c r="A7" s="13"/>
      <c r="B7">
        <f>SUM(H7:L7)</f>
        <v>30</v>
      </c>
      <c r="C7" s="1" t="s">
        <v>3</v>
      </c>
      <c r="D7">
        <v>6</v>
      </c>
      <c r="E7">
        <v>10</v>
      </c>
      <c r="F7" s="5" t="s">
        <v>59</v>
      </c>
      <c r="G7" t="s">
        <v>38</v>
      </c>
      <c r="I7">
        <v>30</v>
      </c>
      <c r="M7" s="5"/>
      <c r="N7" s="5" t="s">
        <v>68</v>
      </c>
      <c r="O7" t="s">
        <v>44</v>
      </c>
      <c r="Q7" t="e">
        <f>"["&amp;IF(ISNUMBER(C7),C7,IF(C7="",0,CHAR(39)&amp;C7&amp;CHAR(39)))&amp;","&amp;IF(ISNUMBER(D7),D7,IF(D7="",0,CHAR(39)&amp;D7&amp;CHAR(39)))&amp;","&amp;IF(ISNUMBER(E7),E7,IF(E7="",0,CHAR(39)&amp;E7&amp;CHAR(39)))&amp;","&amp;IF(ISNUMBER(F7),F7,IF(F7="",0,CHAR(39)&amp;F7&amp;CHAR(39)))&amp;","&amp;IF(ISNUMBER(G7),G7,IF(G7="",0,CHAR(39)&amp;G7&amp;CHAR(39)))&amp;","&amp;IF(ISNUMBER(H7),H7,IF(H7="",0,CHAR(39)&amp;H7&amp;CHAR(39)))&amp;","&amp;IF(ISNUMBER(I7),I7,IF(I7="",0,CHAR(39)&amp;I7&amp;CHAR(39)))&amp;","&amp;IF(ISNUMBER(J7),J7,IF(J7="",0,CHAR(39)&amp;J7&amp;CHAR(39)))&amp;","&amp;IF(ISNUMBER(K7),K7,IF(K7="",0,CHAR(39)&amp;K7&amp;CHAR(39)))&amp;","&amp;IF(ISNUMBER(L7),L7,IF(L7="",0,CHAR(39)&amp;L7&amp;CHAR(39)))&amp;","&amp;IF(ISNUMBER(#REF!),#REF!,IF(#REF!="",0,CHAR(39)&amp;#REF!&amp;CHAR(39)))&amp;","&amp;IF(ISNUMBER(#REF!),#REF!,IF(#REF!="",0,CHAR(39)&amp;#REF!&amp;CHAR(39)))&amp;","&amp;IF(ISNUMBER(#REF!),#REF!,IF(#REF!="",0,CHAR(39)&amp;#REF!&amp;CHAR(39)))&amp;","&amp;IF(ISNUMBER(M7),M7,IF(M7="",0,CHAR(39)&amp;M7&amp;CHAR(39)))&amp;","&amp;IF(ISNUMBER(N7),N7,IF(N7="",0,CHAR(39)&amp;N7&amp;CHAR(39)))&amp;","&amp;IF(ISNUMBER(O7),O7,IF(O7="",0,CHAR(39)&amp;O7&amp;CHAR(39)))&amp;"],"</f>
        <v>#REF!</v>
      </c>
    </row>
    <row r="8" spans="1:17" x14ac:dyDescent="0.35">
      <c r="A8" s="13"/>
      <c r="B8">
        <f>SUM(H8:L8)</f>
        <v>30</v>
      </c>
      <c r="C8" s="1" t="s">
        <v>41</v>
      </c>
      <c r="D8">
        <v>13</v>
      </c>
      <c r="E8">
        <v>10</v>
      </c>
      <c r="F8" s="5" t="s">
        <v>19</v>
      </c>
      <c r="G8" t="s">
        <v>38</v>
      </c>
      <c r="J8">
        <v>30</v>
      </c>
      <c r="M8" s="5"/>
      <c r="N8" s="5" t="s">
        <v>68</v>
      </c>
      <c r="O8" t="s">
        <v>44</v>
      </c>
      <c r="Q8" t="e">
        <f>"["&amp;IF(ISNUMBER(C8),C8,IF(C8="",0,CHAR(39)&amp;C8&amp;CHAR(39)))&amp;","&amp;IF(ISNUMBER(D8),D8,IF(D8="",0,CHAR(39)&amp;D8&amp;CHAR(39)))&amp;","&amp;IF(ISNUMBER(E8),E8,IF(E8="",0,CHAR(39)&amp;E8&amp;CHAR(39)))&amp;","&amp;IF(ISNUMBER(F8),F8,IF(F8="",0,CHAR(39)&amp;F8&amp;CHAR(39)))&amp;","&amp;IF(ISNUMBER(G8),G8,IF(G8="",0,CHAR(39)&amp;G8&amp;CHAR(39)))&amp;","&amp;IF(ISNUMBER(H8),H8,IF(H8="",0,CHAR(39)&amp;H8&amp;CHAR(39)))&amp;","&amp;IF(ISNUMBER(I8),I8,IF(I8="",0,CHAR(39)&amp;I8&amp;CHAR(39)))&amp;","&amp;IF(ISNUMBER(J8),J8,IF(J8="",0,CHAR(39)&amp;J8&amp;CHAR(39)))&amp;","&amp;IF(ISNUMBER(K8),K8,IF(K8="",0,CHAR(39)&amp;K8&amp;CHAR(39)))&amp;","&amp;IF(ISNUMBER(L8),L8,IF(L8="",0,CHAR(39)&amp;L8&amp;CHAR(39)))&amp;","&amp;IF(ISNUMBER(#REF!),#REF!,IF(#REF!="",0,CHAR(39)&amp;#REF!&amp;CHAR(39)))&amp;","&amp;IF(ISNUMBER(#REF!),#REF!,IF(#REF!="",0,CHAR(39)&amp;#REF!&amp;CHAR(39)))&amp;","&amp;IF(ISNUMBER(#REF!),#REF!,IF(#REF!="",0,CHAR(39)&amp;#REF!&amp;CHAR(39)))&amp;","&amp;IF(ISNUMBER(M8),M8,IF(M8="",0,CHAR(39)&amp;M8&amp;CHAR(39)))&amp;","&amp;IF(ISNUMBER(N8),N8,IF(N8="",0,CHAR(39)&amp;N8&amp;CHAR(39)))&amp;","&amp;IF(ISNUMBER(O8),O8,IF(O8="",0,CHAR(39)&amp;O8&amp;CHAR(39)))&amp;"],"</f>
        <v>#REF!</v>
      </c>
    </row>
    <row r="9" spans="1:17" x14ac:dyDescent="0.35">
      <c r="A9" s="13"/>
      <c r="B9">
        <f>SUM(H9:L9)</f>
        <v>20</v>
      </c>
      <c r="C9" s="1" t="s">
        <v>42</v>
      </c>
      <c r="D9">
        <v>4</v>
      </c>
      <c r="E9">
        <v>0</v>
      </c>
      <c r="F9" s="4" t="s">
        <v>24</v>
      </c>
      <c r="G9" t="s">
        <v>38</v>
      </c>
      <c r="K9">
        <v>20</v>
      </c>
      <c r="M9" s="4"/>
      <c r="N9" s="4" t="s">
        <v>67</v>
      </c>
      <c r="Q9" t="e">
        <f>"["&amp;IF(ISNUMBER(C9),C9,IF(C9="",0,CHAR(39)&amp;C9&amp;CHAR(39)))&amp;","&amp;IF(ISNUMBER(D9),D9,IF(D9="",0,CHAR(39)&amp;D9&amp;CHAR(39)))&amp;","&amp;IF(ISNUMBER(E9),E9,IF(E9="",0,CHAR(39)&amp;E9&amp;CHAR(39)))&amp;","&amp;IF(ISNUMBER(F9),F9,IF(F9="",0,CHAR(39)&amp;F9&amp;CHAR(39)))&amp;","&amp;IF(ISNUMBER(G9),G9,IF(G9="",0,CHAR(39)&amp;G9&amp;CHAR(39)))&amp;","&amp;IF(ISNUMBER(H9),H9,IF(H9="",0,CHAR(39)&amp;H9&amp;CHAR(39)))&amp;","&amp;IF(ISNUMBER(I9),I9,IF(I9="",0,CHAR(39)&amp;I9&amp;CHAR(39)))&amp;","&amp;IF(ISNUMBER(J9),J9,IF(J9="",0,CHAR(39)&amp;J9&amp;CHAR(39)))&amp;","&amp;IF(ISNUMBER(K9),K9,IF(K9="",0,CHAR(39)&amp;K9&amp;CHAR(39)))&amp;","&amp;IF(ISNUMBER(L9),L9,IF(L9="",0,CHAR(39)&amp;L9&amp;CHAR(39)))&amp;","&amp;IF(ISNUMBER(#REF!),#REF!,IF(#REF!="",0,CHAR(39)&amp;#REF!&amp;CHAR(39)))&amp;","&amp;IF(ISNUMBER(#REF!),#REF!,IF(#REF!="",0,CHAR(39)&amp;#REF!&amp;CHAR(39)))&amp;","&amp;IF(ISNUMBER(#REF!),#REF!,IF(#REF!="",0,CHAR(39)&amp;#REF!&amp;CHAR(39)))&amp;","&amp;IF(ISNUMBER(M9),M9,IF(M9="",0,CHAR(39)&amp;M9&amp;CHAR(39)))&amp;","&amp;IF(ISNUMBER(N9),N9,IF(N9="",0,CHAR(39)&amp;N9&amp;CHAR(39)))&amp;","&amp;IF(ISNUMBER(O9),O9,IF(O9="",0,CHAR(39)&amp;O9&amp;CHAR(39)))&amp;"],"</f>
        <v>#REF!</v>
      </c>
    </row>
    <row r="10" spans="1:17" x14ac:dyDescent="0.35">
      <c r="A10" s="13"/>
      <c r="B10">
        <f>SUM(H10:L10)</f>
        <v>50</v>
      </c>
      <c r="C10" s="1" t="s">
        <v>5</v>
      </c>
      <c r="D10">
        <v>11</v>
      </c>
      <c r="E10">
        <v>10</v>
      </c>
      <c r="F10" s="5" t="s">
        <v>25</v>
      </c>
      <c r="G10" t="s">
        <v>38</v>
      </c>
      <c r="K10">
        <v>50</v>
      </c>
      <c r="M10" s="5"/>
      <c r="N10" s="5" t="s">
        <v>68</v>
      </c>
      <c r="O10" t="s">
        <v>42</v>
      </c>
      <c r="Q10" t="e">
        <f>"["&amp;IF(ISNUMBER(C10),C10,IF(C10="",0,CHAR(39)&amp;C10&amp;CHAR(39)))&amp;","&amp;IF(ISNUMBER(D10),D10,IF(D10="",0,CHAR(39)&amp;D10&amp;CHAR(39)))&amp;","&amp;IF(ISNUMBER(E10),E10,IF(E10="",0,CHAR(39)&amp;E10&amp;CHAR(39)))&amp;","&amp;IF(ISNUMBER(F10),F10,IF(F10="",0,CHAR(39)&amp;F10&amp;CHAR(39)))&amp;","&amp;IF(ISNUMBER(G10),G10,IF(G10="",0,CHAR(39)&amp;G10&amp;CHAR(39)))&amp;","&amp;IF(ISNUMBER(H10),H10,IF(H10="",0,CHAR(39)&amp;H10&amp;CHAR(39)))&amp;","&amp;IF(ISNUMBER(I10),I10,IF(I10="",0,CHAR(39)&amp;I10&amp;CHAR(39)))&amp;","&amp;IF(ISNUMBER(J10),J10,IF(J10="",0,CHAR(39)&amp;J10&amp;CHAR(39)))&amp;","&amp;IF(ISNUMBER(K10),K10,IF(K10="",0,CHAR(39)&amp;K10&amp;CHAR(39)))&amp;","&amp;IF(ISNUMBER(L10),L10,IF(L10="",0,CHAR(39)&amp;L10&amp;CHAR(39)))&amp;","&amp;IF(ISNUMBER(#REF!),#REF!,IF(#REF!="",0,CHAR(39)&amp;#REF!&amp;CHAR(39)))&amp;","&amp;IF(ISNUMBER(#REF!),#REF!,IF(#REF!="",0,CHAR(39)&amp;#REF!&amp;CHAR(39)))&amp;","&amp;IF(ISNUMBER(#REF!),#REF!,IF(#REF!="",0,CHAR(39)&amp;#REF!&amp;CHAR(39)))&amp;","&amp;IF(ISNUMBER(M10),M10,IF(M10="",0,CHAR(39)&amp;M10&amp;CHAR(39)))&amp;","&amp;IF(ISNUMBER(N10),N10,IF(N10="",0,CHAR(39)&amp;N10&amp;CHAR(39)))&amp;","&amp;IF(ISNUMBER(O10),O10,IF(O10="",0,CHAR(39)&amp;O10&amp;CHAR(39)))&amp;"],"</f>
        <v>#REF!</v>
      </c>
    </row>
    <row r="11" spans="1:17" x14ac:dyDescent="0.35">
      <c r="A11" s="13"/>
      <c r="B11">
        <f>SUM(H11:L11)</f>
        <v>10</v>
      </c>
      <c r="C11" s="1" t="s">
        <v>55</v>
      </c>
      <c r="D11">
        <v>13</v>
      </c>
      <c r="E11">
        <v>20</v>
      </c>
      <c r="F11" s="6" t="s">
        <v>20</v>
      </c>
      <c r="G11" t="s">
        <v>38</v>
      </c>
      <c r="K11">
        <v>10</v>
      </c>
      <c r="M11" s="6"/>
      <c r="N11" s="6" t="s">
        <v>69</v>
      </c>
      <c r="O11" t="s">
        <v>5</v>
      </c>
      <c r="Q11" t="e">
        <f>"["&amp;IF(ISNUMBER(C11),C11,IF(C11="",0,CHAR(39)&amp;C11&amp;CHAR(39)))&amp;","&amp;IF(ISNUMBER(D11),D11,IF(D11="",0,CHAR(39)&amp;D11&amp;CHAR(39)))&amp;","&amp;IF(ISNUMBER(E11),E11,IF(E11="",0,CHAR(39)&amp;E11&amp;CHAR(39)))&amp;","&amp;IF(ISNUMBER(F11),F11,IF(F11="",0,CHAR(39)&amp;F11&amp;CHAR(39)))&amp;","&amp;IF(ISNUMBER(G11),G11,IF(G11="",0,CHAR(39)&amp;G11&amp;CHAR(39)))&amp;","&amp;IF(ISNUMBER(H11),H11,IF(H11="",0,CHAR(39)&amp;H11&amp;CHAR(39)))&amp;","&amp;IF(ISNUMBER(I11),I11,IF(I11="",0,CHAR(39)&amp;I11&amp;CHAR(39)))&amp;","&amp;IF(ISNUMBER(J11),J11,IF(J11="",0,CHAR(39)&amp;J11&amp;CHAR(39)))&amp;","&amp;IF(ISNUMBER(K11),K11,IF(K11="",0,CHAR(39)&amp;K11&amp;CHAR(39)))&amp;","&amp;IF(ISNUMBER(L11),L11,IF(L11="",0,CHAR(39)&amp;L11&amp;CHAR(39)))&amp;","&amp;IF(ISNUMBER(#REF!),#REF!,IF(#REF!="",0,CHAR(39)&amp;#REF!&amp;CHAR(39)))&amp;","&amp;IF(ISNUMBER(#REF!),#REF!,IF(#REF!="",0,CHAR(39)&amp;#REF!&amp;CHAR(39)))&amp;","&amp;IF(ISNUMBER(#REF!),#REF!,IF(#REF!="",0,CHAR(39)&amp;#REF!&amp;CHAR(39)))&amp;","&amp;IF(ISNUMBER(M11),M11,IF(M11="",0,CHAR(39)&amp;M11&amp;CHAR(39)))&amp;","&amp;IF(ISNUMBER(N11),N11,IF(N11="",0,CHAR(39)&amp;N11&amp;CHAR(39)))&amp;","&amp;IF(ISNUMBER(O11),O11,IF(O11="",0,CHAR(39)&amp;O11&amp;CHAR(39)))&amp;"],"</f>
        <v>#REF!</v>
      </c>
    </row>
    <row r="12" spans="1:17" x14ac:dyDescent="0.35">
      <c r="A12" s="13"/>
      <c r="B12">
        <f>SUM(H12:L12)</f>
        <v>20</v>
      </c>
      <c r="C12" s="1" t="s">
        <v>43</v>
      </c>
      <c r="D12">
        <v>14</v>
      </c>
      <c r="E12">
        <v>20</v>
      </c>
      <c r="F12" s="6" t="s">
        <v>26</v>
      </c>
      <c r="G12" t="s">
        <v>38</v>
      </c>
      <c r="I12">
        <v>10</v>
      </c>
      <c r="J12">
        <v>10</v>
      </c>
      <c r="M12" s="6"/>
      <c r="N12" s="6" t="s">
        <v>69</v>
      </c>
      <c r="O12" t="s">
        <v>135</v>
      </c>
      <c r="Q12" t="e">
        <f>"["&amp;IF(ISNUMBER(C12),C12,IF(C12="",0,CHAR(39)&amp;C12&amp;CHAR(39)))&amp;","&amp;IF(ISNUMBER(D12),D12,IF(D12="",0,CHAR(39)&amp;D12&amp;CHAR(39)))&amp;","&amp;IF(ISNUMBER(E12),E12,IF(E12="",0,CHAR(39)&amp;E12&amp;CHAR(39)))&amp;","&amp;IF(ISNUMBER(F12),F12,IF(F12="",0,CHAR(39)&amp;F12&amp;CHAR(39)))&amp;","&amp;IF(ISNUMBER(G12),G12,IF(G12="",0,CHAR(39)&amp;G12&amp;CHAR(39)))&amp;","&amp;IF(ISNUMBER(H12),H12,IF(H12="",0,CHAR(39)&amp;H12&amp;CHAR(39)))&amp;","&amp;IF(ISNUMBER(I12),I12,IF(I12="",0,CHAR(39)&amp;I12&amp;CHAR(39)))&amp;","&amp;IF(ISNUMBER(J12),J12,IF(J12="",0,CHAR(39)&amp;J12&amp;CHAR(39)))&amp;","&amp;IF(ISNUMBER(K12),K12,IF(K12="",0,CHAR(39)&amp;K12&amp;CHAR(39)))&amp;","&amp;IF(ISNUMBER(L12),L12,IF(L12="",0,CHAR(39)&amp;L12&amp;CHAR(39)))&amp;","&amp;IF(ISNUMBER(#REF!),#REF!,IF(#REF!="",0,CHAR(39)&amp;#REF!&amp;CHAR(39)))&amp;","&amp;IF(ISNUMBER(#REF!),#REF!,IF(#REF!="",0,CHAR(39)&amp;#REF!&amp;CHAR(39)))&amp;","&amp;IF(ISNUMBER(#REF!),#REF!,IF(#REF!="",0,CHAR(39)&amp;#REF!&amp;CHAR(39)))&amp;","&amp;IF(ISNUMBER(M12),M12,IF(M12="",0,CHAR(39)&amp;M12&amp;CHAR(39)))&amp;","&amp;IF(ISNUMBER(N12),N12,IF(N12="",0,CHAR(39)&amp;N12&amp;CHAR(39)))&amp;","&amp;IF(ISNUMBER(O12),O12,IF(O12="",0,CHAR(39)&amp;O12&amp;CHAR(39)))&amp;"],"</f>
        <v>#REF!</v>
      </c>
    </row>
    <row r="13" spans="1:17" x14ac:dyDescent="0.35">
      <c r="A13" s="13"/>
      <c r="B13">
        <f>SUM(H13:L13)</f>
        <v>11</v>
      </c>
      <c r="C13" s="1" t="s">
        <v>57</v>
      </c>
      <c r="D13">
        <v>20</v>
      </c>
      <c r="E13">
        <v>20</v>
      </c>
      <c r="F13" s="6" t="s">
        <v>58</v>
      </c>
      <c r="G13" t="s">
        <v>38</v>
      </c>
      <c r="H13">
        <v>10</v>
      </c>
      <c r="L13">
        <v>1</v>
      </c>
      <c r="M13" s="6"/>
      <c r="N13" s="6" t="s">
        <v>69</v>
      </c>
      <c r="O13" t="s">
        <v>53</v>
      </c>
      <c r="Q13" t="e">
        <f>"["&amp;IF(ISNUMBER(C13),C13,IF(C13="",0,CHAR(39)&amp;C13&amp;CHAR(39)))&amp;","&amp;IF(ISNUMBER(D13),D13,IF(D13="",0,CHAR(39)&amp;D13&amp;CHAR(39)))&amp;","&amp;IF(ISNUMBER(E13),E13,IF(E13="",0,CHAR(39)&amp;E13&amp;CHAR(39)))&amp;","&amp;IF(ISNUMBER(F13),F13,IF(F13="",0,CHAR(39)&amp;F13&amp;CHAR(39)))&amp;","&amp;IF(ISNUMBER(G13),G13,IF(G13="",0,CHAR(39)&amp;G13&amp;CHAR(39)))&amp;","&amp;IF(ISNUMBER(H13),H13,IF(H13="",0,CHAR(39)&amp;H13&amp;CHAR(39)))&amp;","&amp;IF(ISNUMBER(I13),I13,IF(I13="",0,CHAR(39)&amp;I13&amp;CHAR(39)))&amp;","&amp;IF(ISNUMBER(J13),J13,IF(J13="",0,CHAR(39)&amp;J13&amp;CHAR(39)))&amp;","&amp;IF(ISNUMBER(K13),K13,IF(K13="",0,CHAR(39)&amp;K13&amp;CHAR(39)))&amp;","&amp;IF(ISNUMBER(L13),L13,IF(L13="",0,CHAR(39)&amp;L13&amp;CHAR(39)))&amp;","&amp;IF(ISNUMBER(#REF!),#REF!,IF(#REF!="",0,CHAR(39)&amp;#REF!&amp;CHAR(39)))&amp;","&amp;IF(ISNUMBER(#REF!),#REF!,IF(#REF!="",0,CHAR(39)&amp;#REF!&amp;CHAR(39)))&amp;","&amp;IF(ISNUMBER(#REF!),#REF!,IF(#REF!="",0,CHAR(39)&amp;#REF!&amp;CHAR(39)))&amp;","&amp;IF(ISNUMBER(M13),M13,IF(M13="",0,CHAR(39)&amp;M13&amp;CHAR(39)))&amp;","&amp;IF(ISNUMBER(N13),N13,IF(N13="",0,CHAR(39)&amp;N13&amp;CHAR(39)))&amp;","&amp;IF(ISNUMBER(O13),O13,IF(O13="",0,CHAR(39)&amp;O13&amp;CHAR(39)))&amp;"],"</f>
        <v>#REF!</v>
      </c>
    </row>
    <row r="14" spans="1:17" ht="14.5" customHeight="1" x14ac:dyDescent="0.35">
      <c r="A14" s="16" t="s">
        <v>63</v>
      </c>
      <c r="B14">
        <f>SUM(H14:L14)</f>
        <v>0</v>
      </c>
      <c r="C14" s="1" t="s">
        <v>76</v>
      </c>
      <c r="E14">
        <v>30</v>
      </c>
      <c r="F14" s="7" t="s">
        <v>101</v>
      </c>
      <c r="G14" t="s">
        <v>38</v>
      </c>
      <c r="M14" s="7" t="s">
        <v>102</v>
      </c>
      <c r="N14" s="7" t="s">
        <v>70</v>
      </c>
      <c r="O14" t="s">
        <v>75</v>
      </c>
      <c r="Q14" t="e">
        <f>"["&amp;IF(ISNUMBER(C14),C14,IF(C14="",0,CHAR(39)&amp;C14&amp;CHAR(39)))&amp;","&amp;IF(ISNUMBER(D14),D14,IF(D14="",0,CHAR(39)&amp;D14&amp;CHAR(39)))&amp;","&amp;IF(ISNUMBER(E14),E14,IF(E14="",0,CHAR(39)&amp;E14&amp;CHAR(39)))&amp;","&amp;IF(ISNUMBER(F14),F14,IF(F14="",0,CHAR(39)&amp;F14&amp;CHAR(39)))&amp;","&amp;IF(ISNUMBER(G14),G14,IF(G14="",0,CHAR(39)&amp;G14&amp;CHAR(39)))&amp;","&amp;IF(ISNUMBER(H14),H14,IF(H14="",0,CHAR(39)&amp;H14&amp;CHAR(39)))&amp;","&amp;IF(ISNUMBER(I14),I14,IF(I14="",0,CHAR(39)&amp;I14&amp;CHAR(39)))&amp;","&amp;IF(ISNUMBER(J14),J14,IF(J14="",0,CHAR(39)&amp;J14&amp;CHAR(39)))&amp;","&amp;IF(ISNUMBER(K14),K14,IF(K14="",0,CHAR(39)&amp;K14&amp;CHAR(39)))&amp;","&amp;IF(ISNUMBER(L14),L14,IF(L14="",0,CHAR(39)&amp;L14&amp;CHAR(39)))&amp;","&amp;IF(ISNUMBER(#REF!),#REF!,IF(#REF!="",0,CHAR(39)&amp;#REF!&amp;CHAR(39)))&amp;","&amp;IF(ISNUMBER(#REF!),#REF!,IF(#REF!="",0,CHAR(39)&amp;#REF!&amp;CHAR(39)))&amp;","&amp;IF(ISNUMBER(#REF!),#REF!,IF(#REF!="",0,CHAR(39)&amp;#REF!&amp;CHAR(39)))&amp;","&amp;IF(ISNUMBER(M14),M14,IF(M14="",0,CHAR(39)&amp;M14&amp;CHAR(39)))&amp;","&amp;IF(ISNUMBER(N14),N14,IF(N14="",0,CHAR(39)&amp;N14&amp;CHAR(39)))&amp;","&amp;IF(ISNUMBER(O14),O14,IF(O14="",0,CHAR(39)&amp;O14&amp;CHAR(39)))&amp;"],"</f>
        <v>#REF!</v>
      </c>
    </row>
    <row r="15" spans="1:17" x14ac:dyDescent="0.35">
      <c r="A15" s="16"/>
      <c r="B15">
        <f>SUM(H15:L15)</f>
        <v>0</v>
      </c>
      <c r="C15" s="1" t="s">
        <v>71</v>
      </c>
      <c r="F15" s="8" t="s">
        <v>72</v>
      </c>
      <c r="G15" s="8" t="s">
        <v>73</v>
      </c>
      <c r="M15" s="8" t="s">
        <v>103</v>
      </c>
      <c r="N15" s="8"/>
      <c r="Q15" t="e">
        <f>"["&amp;IF(ISNUMBER(C15),C15,IF(C15="",0,CHAR(39)&amp;C15&amp;CHAR(39)))&amp;","&amp;IF(ISNUMBER(D15),D15,IF(D15="",0,CHAR(39)&amp;D15&amp;CHAR(39)))&amp;","&amp;IF(ISNUMBER(E15),E15,IF(E15="",0,CHAR(39)&amp;E15&amp;CHAR(39)))&amp;","&amp;IF(ISNUMBER(F15),F15,IF(F15="",0,CHAR(39)&amp;F15&amp;CHAR(39)))&amp;","&amp;IF(ISNUMBER(G15),G15,IF(G15="",0,CHAR(39)&amp;G15&amp;CHAR(39)))&amp;","&amp;IF(ISNUMBER(H15),H15,IF(H15="",0,CHAR(39)&amp;H15&amp;CHAR(39)))&amp;","&amp;IF(ISNUMBER(I15),I15,IF(I15="",0,CHAR(39)&amp;I15&amp;CHAR(39)))&amp;","&amp;IF(ISNUMBER(J15),J15,IF(J15="",0,CHAR(39)&amp;J15&amp;CHAR(39)))&amp;","&amp;IF(ISNUMBER(K15),K15,IF(K15="",0,CHAR(39)&amp;K15&amp;CHAR(39)))&amp;","&amp;IF(ISNUMBER(L15),L15,IF(L15="",0,CHAR(39)&amp;L15&amp;CHAR(39)))&amp;","&amp;IF(ISNUMBER(#REF!),#REF!,IF(#REF!="",0,CHAR(39)&amp;#REF!&amp;CHAR(39)))&amp;","&amp;IF(ISNUMBER(#REF!),#REF!,IF(#REF!="",0,CHAR(39)&amp;#REF!&amp;CHAR(39)))&amp;","&amp;IF(ISNUMBER(#REF!),#REF!,IF(#REF!="",0,CHAR(39)&amp;#REF!&amp;CHAR(39)))&amp;","&amp;IF(ISNUMBER(M15),M15,IF(M15="",0,CHAR(39)&amp;M15&amp;CHAR(39)))&amp;","&amp;IF(ISNUMBER(N15),N15,IF(N15="",0,CHAR(39)&amp;N15&amp;CHAR(39)))&amp;","&amp;IF(ISNUMBER(O15),O15,IF(O15="",0,CHAR(39)&amp;O15&amp;CHAR(39)))&amp;"],"</f>
        <v>#REF!</v>
      </c>
    </row>
    <row r="16" spans="1:17" ht="14.5" customHeight="1" x14ac:dyDescent="0.35">
      <c r="A16" s="16"/>
      <c r="B16">
        <f>SUM(H16:L16)</f>
        <v>0</v>
      </c>
      <c r="C16" s="1" t="s">
        <v>46</v>
      </c>
      <c r="F16" s="8" t="s">
        <v>29</v>
      </c>
      <c r="G16" s="8" t="s">
        <v>104</v>
      </c>
      <c r="M16" s="8" t="s">
        <v>116</v>
      </c>
      <c r="N16" s="8" t="s">
        <v>118</v>
      </c>
      <c r="Q16" t="e">
        <f>"["&amp;IF(ISNUMBER(C16),C16,IF(C16="",0,CHAR(39)&amp;C16&amp;CHAR(39)))&amp;","&amp;IF(ISNUMBER(D16),D16,IF(D16="",0,CHAR(39)&amp;D16&amp;CHAR(39)))&amp;","&amp;IF(ISNUMBER(E16),E16,IF(E16="",0,CHAR(39)&amp;E16&amp;CHAR(39)))&amp;","&amp;IF(ISNUMBER(F16),F16,IF(F16="",0,CHAR(39)&amp;F16&amp;CHAR(39)))&amp;","&amp;IF(ISNUMBER(G16),G16,IF(G16="",0,CHAR(39)&amp;G16&amp;CHAR(39)))&amp;","&amp;IF(ISNUMBER(H16),H16,IF(H16="",0,CHAR(39)&amp;H16&amp;CHAR(39)))&amp;","&amp;IF(ISNUMBER(I16),I16,IF(I16="",0,CHAR(39)&amp;I16&amp;CHAR(39)))&amp;","&amp;IF(ISNUMBER(J16),J16,IF(J16="",0,CHAR(39)&amp;J16&amp;CHAR(39)))&amp;","&amp;IF(ISNUMBER(K16),K16,IF(K16="",0,CHAR(39)&amp;K16&amp;CHAR(39)))&amp;","&amp;IF(ISNUMBER(L16),L16,IF(L16="",0,CHAR(39)&amp;L16&amp;CHAR(39)))&amp;","&amp;IF(ISNUMBER(#REF!),#REF!,IF(#REF!="",0,CHAR(39)&amp;#REF!&amp;CHAR(39)))&amp;","&amp;IF(ISNUMBER(#REF!),#REF!,IF(#REF!="",0,CHAR(39)&amp;#REF!&amp;CHAR(39)))&amp;","&amp;IF(ISNUMBER(#REF!),#REF!,IF(#REF!="",0,CHAR(39)&amp;#REF!&amp;CHAR(39)))&amp;","&amp;IF(ISNUMBER(M16),M16,IF(M16="",0,CHAR(39)&amp;M16&amp;CHAR(39)))&amp;","&amp;IF(ISNUMBER(N16),N16,IF(N16="",0,CHAR(39)&amp;N16&amp;CHAR(39)))&amp;","&amp;IF(ISNUMBER(O16),O16,IF(O16="",0,CHAR(39)&amp;O16&amp;CHAR(39)))&amp;"],"</f>
        <v>#REF!</v>
      </c>
    </row>
    <row r="17" spans="1:17" x14ac:dyDescent="0.35">
      <c r="A17" s="16"/>
      <c r="B17">
        <f>SUM(H17:L17)</f>
        <v>0</v>
      </c>
      <c r="C17" s="1" t="s">
        <v>79</v>
      </c>
      <c r="F17" s="8" t="s">
        <v>39</v>
      </c>
      <c r="G17" s="8" t="s">
        <v>105</v>
      </c>
      <c r="M17" s="8" t="s">
        <v>117</v>
      </c>
      <c r="N17" s="8"/>
      <c r="Q17" t="e">
        <f>"["&amp;IF(ISNUMBER(C17),C17,IF(C17="",0,CHAR(39)&amp;C17&amp;CHAR(39)))&amp;","&amp;IF(ISNUMBER(D17),D17,IF(D17="",0,CHAR(39)&amp;D17&amp;CHAR(39)))&amp;","&amp;IF(ISNUMBER(E17),E17,IF(E17="",0,CHAR(39)&amp;E17&amp;CHAR(39)))&amp;","&amp;IF(ISNUMBER(F17),F17,IF(F17="",0,CHAR(39)&amp;F17&amp;CHAR(39)))&amp;","&amp;IF(ISNUMBER(G17),G17,IF(G17="",0,CHAR(39)&amp;G17&amp;CHAR(39)))&amp;","&amp;IF(ISNUMBER(H17),H17,IF(H17="",0,CHAR(39)&amp;H17&amp;CHAR(39)))&amp;","&amp;IF(ISNUMBER(I17),I17,IF(I17="",0,CHAR(39)&amp;I17&amp;CHAR(39)))&amp;","&amp;IF(ISNUMBER(J17),J17,IF(J17="",0,CHAR(39)&amp;J17&amp;CHAR(39)))&amp;","&amp;IF(ISNUMBER(K17),K17,IF(K17="",0,CHAR(39)&amp;K17&amp;CHAR(39)))&amp;","&amp;IF(ISNUMBER(L17),L17,IF(L17="",0,CHAR(39)&amp;L17&amp;CHAR(39)))&amp;","&amp;IF(ISNUMBER(#REF!),#REF!,IF(#REF!="",0,CHAR(39)&amp;#REF!&amp;CHAR(39)))&amp;","&amp;IF(ISNUMBER(#REF!),#REF!,IF(#REF!="",0,CHAR(39)&amp;#REF!&amp;CHAR(39)))&amp;","&amp;IF(ISNUMBER(#REF!),#REF!,IF(#REF!="",0,CHAR(39)&amp;#REF!&amp;CHAR(39)))&amp;","&amp;IF(ISNUMBER(M17),M17,IF(M17="",0,CHAR(39)&amp;M17&amp;CHAR(39)))&amp;","&amp;IF(ISNUMBER(N17),N17,IF(N17="",0,CHAR(39)&amp;N17&amp;CHAR(39)))&amp;","&amp;IF(ISNUMBER(O17),O17,IF(O17="",0,CHAR(39)&amp;O17&amp;CHAR(39)))&amp;"],"</f>
        <v>#REF!</v>
      </c>
    </row>
    <row r="18" spans="1:17" x14ac:dyDescent="0.35">
      <c r="A18" s="15"/>
      <c r="B18">
        <f>SUM(H18:L18)</f>
        <v>120</v>
      </c>
      <c r="C18" s="3" t="s">
        <v>87</v>
      </c>
      <c r="E18">
        <v>20</v>
      </c>
      <c r="F18" s="3" t="s">
        <v>92</v>
      </c>
      <c r="G18" t="s">
        <v>77</v>
      </c>
      <c r="H18">
        <v>120</v>
      </c>
      <c r="M18" s="3"/>
      <c r="N18" s="3"/>
      <c r="Q18" t="e">
        <f>"["&amp;IF(ISNUMBER(C18),C18,IF(C18="",0,CHAR(39)&amp;C18&amp;CHAR(39)))&amp;","&amp;IF(ISNUMBER(D18),D18,IF(D18="",0,CHAR(39)&amp;D18&amp;CHAR(39)))&amp;","&amp;IF(ISNUMBER(E18),E18,IF(E18="",0,CHAR(39)&amp;E18&amp;CHAR(39)))&amp;","&amp;IF(ISNUMBER(F18),F18,IF(F18="",0,CHAR(39)&amp;F18&amp;CHAR(39)))&amp;","&amp;IF(ISNUMBER(G18),G18,IF(G18="",0,CHAR(39)&amp;G18&amp;CHAR(39)))&amp;","&amp;IF(ISNUMBER(H18),H18,IF(H18="",0,CHAR(39)&amp;H18&amp;CHAR(39)))&amp;","&amp;IF(ISNUMBER(I18),I18,IF(I18="",0,CHAR(39)&amp;I18&amp;CHAR(39)))&amp;","&amp;IF(ISNUMBER(J18),J18,IF(J18="",0,CHAR(39)&amp;J18&amp;CHAR(39)))&amp;","&amp;IF(ISNUMBER(K18),K18,IF(K18="",0,CHAR(39)&amp;K18&amp;CHAR(39)))&amp;","&amp;IF(ISNUMBER(L18),L18,IF(L18="",0,CHAR(39)&amp;L18&amp;CHAR(39)))&amp;","&amp;IF(ISNUMBER(#REF!),#REF!,IF(#REF!="",0,CHAR(39)&amp;#REF!&amp;CHAR(39)))&amp;","&amp;IF(ISNUMBER(#REF!),#REF!,IF(#REF!="",0,CHAR(39)&amp;#REF!&amp;CHAR(39)))&amp;","&amp;IF(ISNUMBER(#REF!),#REF!,IF(#REF!="",0,CHAR(39)&amp;#REF!&amp;CHAR(39)))&amp;","&amp;IF(ISNUMBER(M18),M18,IF(M18="",0,CHAR(39)&amp;M18&amp;CHAR(39)))&amp;","&amp;IF(ISNUMBER(N18),N18,IF(N18="",0,CHAR(39)&amp;N18&amp;CHAR(39)))&amp;","&amp;IF(ISNUMBER(O18),O18,IF(O18="",0,CHAR(39)&amp;O18&amp;CHAR(39)))&amp;"],"</f>
        <v>#REF!</v>
      </c>
    </row>
    <row r="19" spans="1:17" x14ac:dyDescent="0.35">
      <c r="A19" s="15"/>
      <c r="B19">
        <f>SUM(H19:L19)</f>
        <v>120</v>
      </c>
      <c r="C19" s="3" t="s">
        <v>88</v>
      </c>
      <c r="E19">
        <v>20</v>
      </c>
      <c r="F19" s="3" t="s">
        <v>93</v>
      </c>
      <c r="G19" t="s">
        <v>77</v>
      </c>
      <c r="I19">
        <v>120</v>
      </c>
      <c r="M19" s="3"/>
      <c r="N19" s="3"/>
      <c r="Q19" t="e">
        <f>"["&amp;IF(ISNUMBER(C19),C19,IF(C19="",0,CHAR(39)&amp;C19&amp;CHAR(39)))&amp;","&amp;IF(ISNUMBER(D19),D19,IF(D19="",0,CHAR(39)&amp;D19&amp;CHAR(39)))&amp;","&amp;IF(ISNUMBER(E19),E19,IF(E19="",0,CHAR(39)&amp;E19&amp;CHAR(39)))&amp;","&amp;IF(ISNUMBER(F19),F19,IF(F19="",0,CHAR(39)&amp;F19&amp;CHAR(39)))&amp;","&amp;IF(ISNUMBER(G19),G19,IF(G19="",0,CHAR(39)&amp;G19&amp;CHAR(39)))&amp;","&amp;IF(ISNUMBER(H19),H19,IF(H19="",0,CHAR(39)&amp;H19&amp;CHAR(39)))&amp;","&amp;IF(ISNUMBER(I19),I19,IF(I19="",0,CHAR(39)&amp;I19&amp;CHAR(39)))&amp;","&amp;IF(ISNUMBER(J19),J19,IF(J19="",0,CHAR(39)&amp;J19&amp;CHAR(39)))&amp;","&amp;IF(ISNUMBER(K19),K19,IF(K19="",0,CHAR(39)&amp;K19&amp;CHAR(39)))&amp;","&amp;IF(ISNUMBER(L19),L19,IF(L19="",0,CHAR(39)&amp;L19&amp;CHAR(39)))&amp;","&amp;IF(ISNUMBER(#REF!),#REF!,IF(#REF!="",0,CHAR(39)&amp;#REF!&amp;CHAR(39)))&amp;","&amp;IF(ISNUMBER(#REF!),#REF!,IF(#REF!="",0,CHAR(39)&amp;#REF!&amp;CHAR(39)))&amp;","&amp;IF(ISNUMBER(#REF!),#REF!,IF(#REF!="",0,CHAR(39)&amp;#REF!&amp;CHAR(39)))&amp;","&amp;IF(ISNUMBER(M19),M19,IF(M19="",0,CHAR(39)&amp;M19&amp;CHAR(39)))&amp;","&amp;IF(ISNUMBER(N19),N19,IF(N19="",0,CHAR(39)&amp;N19&amp;CHAR(39)))&amp;","&amp;IF(ISNUMBER(O19),O19,IF(O19="",0,CHAR(39)&amp;O19&amp;CHAR(39)))&amp;"],"</f>
        <v>#REF!</v>
      </c>
    </row>
    <row r="20" spans="1:17" x14ac:dyDescent="0.35">
      <c r="A20" s="15"/>
      <c r="B20">
        <f>SUM(H20:L20)</f>
        <v>120</v>
      </c>
      <c r="C20" s="3" t="s">
        <v>89</v>
      </c>
      <c r="E20">
        <v>20</v>
      </c>
      <c r="F20" s="3" t="s">
        <v>94</v>
      </c>
      <c r="G20" t="s">
        <v>77</v>
      </c>
      <c r="J20">
        <v>120</v>
      </c>
      <c r="M20" s="3"/>
      <c r="N20" s="3"/>
      <c r="Q20" t="e">
        <f>"["&amp;IF(ISNUMBER(C20),C20,IF(C20="",0,CHAR(39)&amp;C20&amp;CHAR(39)))&amp;","&amp;IF(ISNUMBER(D20),D20,IF(D20="",0,CHAR(39)&amp;D20&amp;CHAR(39)))&amp;","&amp;IF(ISNUMBER(E20),E20,IF(E20="",0,CHAR(39)&amp;E20&amp;CHAR(39)))&amp;","&amp;IF(ISNUMBER(F20),F20,IF(F20="",0,CHAR(39)&amp;F20&amp;CHAR(39)))&amp;","&amp;IF(ISNUMBER(G20),G20,IF(G20="",0,CHAR(39)&amp;G20&amp;CHAR(39)))&amp;","&amp;IF(ISNUMBER(H20),H20,IF(H20="",0,CHAR(39)&amp;H20&amp;CHAR(39)))&amp;","&amp;IF(ISNUMBER(I20),I20,IF(I20="",0,CHAR(39)&amp;I20&amp;CHAR(39)))&amp;","&amp;IF(ISNUMBER(J20),J20,IF(J20="",0,CHAR(39)&amp;J20&amp;CHAR(39)))&amp;","&amp;IF(ISNUMBER(K20),K20,IF(K20="",0,CHAR(39)&amp;K20&amp;CHAR(39)))&amp;","&amp;IF(ISNUMBER(L20),L20,IF(L20="",0,CHAR(39)&amp;L20&amp;CHAR(39)))&amp;","&amp;IF(ISNUMBER(#REF!),#REF!,IF(#REF!="",0,CHAR(39)&amp;#REF!&amp;CHAR(39)))&amp;","&amp;IF(ISNUMBER(#REF!),#REF!,IF(#REF!="",0,CHAR(39)&amp;#REF!&amp;CHAR(39)))&amp;","&amp;IF(ISNUMBER(#REF!),#REF!,IF(#REF!="",0,CHAR(39)&amp;#REF!&amp;CHAR(39)))&amp;","&amp;IF(ISNUMBER(M20),M20,IF(M20="",0,CHAR(39)&amp;M20&amp;CHAR(39)))&amp;","&amp;IF(ISNUMBER(N20),N20,IF(N20="",0,CHAR(39)&amp;N20&amp;CHAR(39)))&amp;","&amp;IF(ISNUMBER(O20),O20,IF(O20="",0,CHAR(39)&amp;O20&amp;CHAR(39)))&amp;"],"</f>
        <v>#REF!</v>
      </c>
    </row>
    <row r="21" spans="1:17" x14ac:dyDescent="0.35">
      <c r="A21" s="15"/>
      <c r="B21">
        <f>SUM(H21:L21)</f>
        <v>120</v>
      </c>
      <c r="C21" s="3" t="s">
        <v>90</v>
      </c>
      <c r="E21">
        <v>20</v>
      </c>
      <c r="F21" s="3" t="s">
        <v>91</v>
      </c>
      <c r="G21" t="s">
        <v>77</v>
      </c>
      <c r="K21">
        <v>120</v>
      </c>
      <c r="M21" s="3"/>
      <c r="N21" s="3"/>
      <c r="Q21" t="e">
        <f>"["&amp;IF(ISNUMBER(C21),C21,IF(C21="",0,CHAR(39)&amp;C21&amp;CHAR(39)))&amp;","&amp;IF(ISNUMBER(D21),D21,IF(D21="",0,CHAR(39)&amp;D21&amp;CHAR(39)))&amp;","&amp;IF(ISNUMBER(E21),E21,IF(E21="",0,CHAR(39)&amp;E21&amp;CHAR(39)))&amp;","&amp;IF(ISNUMBER(F21),F21,IF(F21="",0,CHAR(39)&amp;F21&amp;CHAR(39)))&amp;","&amp;IF(ISNUMBER(G21),G21,IF(G21="",0,CHAR(39)&amp;G21&amp;CHAR(39)))&amp;","&amp;IF(ISNUMBER(H21),H21,IF(H21="",0,CHAR(39)&amp;H21&amp;CHAR(39)))&amp;","&amp;IF(ISNUMBER(I21),I21,IF(I21="",0,CHAR(39)&amp;I21&amp;CHAR(39)))&amp;","&amp;IF(ISNUMBER(J21),J21,IF(J21="",0,CHAR(39)&amp;J21&amp;CHAR(39)))&amp;","&amp;IF(ISNUMBER(K21),K21,IF(K21="",0,CHAR(39)&amp;K21&amp;CHAR(39)))&amp;","&amp;IF(ISNUMBER(L21),L21,IF(L21="",0,CHAR(39)&amp;L21&amp;CHAR(39)))&amp;","&amp;IF(ISNUMBER(#REF!),#REF!,IF(#REF!="",0,CHAR(39)&amp;#REF!&amp;CHAR(39)))&amp;","&amp;IF(ISNUMBER(#REF!),#REF!,IF(#REF!="",0,CHAR(39)&amp;#REF!&amp;CHAR(39)))&amp;","&amp;IF(ISNUMBER(#REF!),#REF!,IF(#REF!="",0,CHAR(39)&amp;#REF!&amp;CHAR(39)))&amp;","&amp;IF(ISNUMBER(M21),M21,IF(M21="",0,CHAR(39)&amp;M21&amp;CHAR(39)))&amp;","&amp;IF(ISNUMBER(N21),N21,IF(N21="",0,CHAR(39)&amp;N21&amp;CHAR(39)))&amp;","&amp;IF(ISNUMBER(O21),O21,IF(O21="",0,CHAR(39)&amp;O21&amp;CHAR(39)))&amp;"],"</f>
        <v>#REF!</v>
      </c>
    </row>
    <row r="22" spans="1:17" x14ac:dyDescent="0.35">
      <c r="A22" s="15"/>
      <c r="B22">
        <f>SUM(H22:L22)</f>
        <v>10</v>
      </c>
      <c r="C22" s="3" t="s">
        <v>119</v>
      </c>
      <c r="E22">
        <v>0</v>
      </c>
      <c r="F22" s="3" t="s">
        <v>123</v>
      </c>
      <c r="G22" t="s">
        <v>77</v>
      </c>
      <c r="H22">
        <v>10</v>
      </c>
      <c r="M22" s="3"/>
      <c r="N22" s="3"/>
      <c r="Q22" t="e">
        <f>"["&amp;IF(ISNUMBER(C22),C22,IF(C22="",0,CHAR(39)&amp;C22&amp;CHAR(39)))&amp;","&amp;IF(ISNUMBER(D22),D22,IF(D22="",0,CHAR(39)&amp;D22&amp;CHAR(39)))&amp;","&amp;IF(ISNUMBER(E22),E22,IF(E22="",0,CHAR(39)&amp;E22&amp;CHAR(39)))&amp;","&amp;IF(ISNUMBER(F22),F22,IF(F22="",0,CHAR(39)&amp;F22&amp;CHAR(39)))&amp;","&amp;IF(ISNUMBER(G22),G22,IF(G22="",0,CHAR(39)&amp;G22&amp;CHAR(39)))&amp;","&amp;IF(ISNUMBER(H22),H22,IF(H22="",0,CHAR(39)&amp;H22&amp;CHAR(39)))&amp;","&amp;IF(ISNUMBER(I22),I22,IF(I22="",0,CHAR(39)&amp;I22&amp;CHAR(39)))&amp;","&amp;IF(ISNUMBER(J22),J22,IF(J22="",0,CHAR(39)&amp;J22&amp;CHAR(39)))&amp;","&amp;IF(ISNUMBER(K22),K22,IF(K22="",0,CHAR(39)&amp;K22&amp;CHAR(39)))&amp;","&amp;IF(ISNUMBER(L22),L22,IF(L22="",0,CHAR(39)&amp;L22&amp;CHAR(39)))&amp;","&amp;IF(ISNUMBER(#REF!),#REF!,IF(#REF!="",0,CHAR(39)&amp;#REF!&amp;CHAR(39)))&amp;","&amp;IF(ISNUMBER(#REF!),#REF!,IF(#REF!="",0,CHAR(39)&amp;#REF!&amp;CHAR(39)))&amp;","&amp;IF(ISNUMBER(#REF!),#REF!,IF(#REF!="",0,CHAR(39)&amp;#REF!&amp;CHAR(39)))&amp;","&amp;IF(ISNUMBER(M22),M22,IF(M22="",0,CHAR(39)&amp;M22&amp;CHAR(39)))&amp;","&amp;IF(ISNUMBER(N22),N22,IF(N22="",0,CHAR(39)&amp;N22&amp;CHAR(39)))&amp;","&amp;IF(ISNUMBER(O22),O22,IF(O22="",0,CHAR(39)&amp;O22&amp;CHAR(39)))&amp;"],"</f>
        <v>#REF!</v>
      </c>
    </row>
    <row r="23" spans="1:17" x14ac:dyDescent="0.35">
      <c r="A23" s="15"/>
      <c r="B23">
        <f>SUM(H23:L23)</f>
        <v>10</v>
      </c>
      <c r="C23" s="3" t="s">
        <v>120</v>
      </c>
      <c r="E23">
        <v>0</v>
      </c>
      <c r="F23" s="3" t="s">
        <v>124</v>
      </c>
      <c r="G23" t="s">
        <v>77</v>
      </c>
      <c r="I23">
        <v>10</v>
      </c>
      <c r="M23" s="3"/>
      <c r="N23" s="3"/>
      <c r="Q23" t="e">
        <f>"["&amp;IF(ISNUMBER(C23),C23,IF(C23="",0,CHAR(39)&amp;C23&amp;CHAR(39)))&amp;","&amp;IF(ISNUMBER(D23),D23,IF(D23="",0,CHAR(39)&amp;D23&amp;CHAR(39)))&amp;","&amp;IF(ISNUMBER(E23),E23,IF(E23="",0,CHAR(39)&amp;E23&amp;CHAR(39)))&amp;","&amp;IF(ISNUMBER(F23),F23,IF(F23="",0,CHAR(39)&amp;F23&amp;CHAR(39)))&amp;","&amp;IF(ISNUMBER(G23),G23,IF(G23="",0,CHAR(39)&amp;G23&amp;CHAR(39)))&amp;","&amp;IF(ISNUMBER(H23),H23,IF(H23="",0,CHAR(39)&amp;H23&amp;CHAR(39)))&amp;","&amp;IF(ISNUMBER(I23),I23,IF(I23="",0,CHAR(39)&amp;I23&amp;CHAR(39)))&amp;","&amp;IF(ISNUMBER(J23),J23,IF(J23="",0,CHAR(39)&amp;J23&amp;CHAR(39)))&amp;","&amp;IF(ISNUMBER(K23),K23,IF(K23="",0,CHAR(39)&amp;K23&amp;CHAR(39)))&amp;","&amp;IF(ISNUMBER(L23),L23,IF(L23="",0,CHAR(39)&amp;L23&amp;CHAR(39)))&amp;","&amp;IF(ISNUMBER(#REF!),#REF!,IF(#REF!="",0,CHAR(39)&amp;#REF!&amp;CHAR(39)))&amp;","&amp;IF(ISNUMBER(#REF!),#REF!,IF(#REF!="",0,CHAR(39)&amp;#REF!&amp;CHAR(39)))&amp;","&amp;IF(ISNUMBER(#REF!),#REF!,IF(#REF!="",0,CHAR(39)&amp;#REF!&amp;CHAR(39)))&amp;","&amp;IF(ISNUMBER(M23),M23,IF(M23="",0,CHAR(39)&amp;M23&amp;CHAR(39)))&amp;","&amp;IF(ISNUMBER(N23),N23,IF(N23="",0,CHAR(39)&amp;N23&amp;CHAR(39)))&amp;","&amp;IF(ISNUMBER(O23),O23,IF(O23="",0,CHAR(39)&amp;O23&amp;CHAR(39)))&amp;"],"</f>
        <v>#REF!</v>
      </c>
    </row>
    <row r="24" spans="1:17" x14ac:dyDescent="0.35">
      <c r="A24" s="15"/>
      <c r="B24">
        <f>SUM(H24:L24)</f>
        <v>10</v>
      </c>
      <c r="C24" s="3" t="s">
        <v>121</v>
      </c>
      <c r="E24">
        <v>0</v>
      </c>
      <c r="F24" s="3" t="s">
        <v>125</v>
      </c>
      <c r="G24" t="s">
        <v>77</v>
      </c>
      <c r="J24">
        <v>10</v>
      </c>
      <c r="M24" s="3"/>
      <c r="N24" s="3"/>
      <c r="Q24" t="e">
        <f>"["&amp;IF(ISNUMBER(C24),C24,IF(C24="",0,CHAR(39)&amp;C24&amp;CHAR(39)))&amp;","&amp;IF(ISNUMBER(D24),D24,IF(D24="",0,CHAR(39)&amp;D24&amp;CHAR(39)))&amp;","&amp;IF(ISNUMBER(E24),E24,IF(E24="",0,CHAR(39)&amp;E24&amp;CHAR(39)))&amp;","&amp;IF(ISNUMBER(F24),F24,IF(F24="",0,CHAR(39)&amp;F24&amp;CHAR(39)))&amp;","&amp;IF(ISNUMBER(G24),G24,IF(G24="",0,CHAR(39)&amp;G24&amp;CHAR(39)))&amp;","&amp;IF(ISNUMBER(H24),H24,IF(H24="",0,CHAR(39)&amp;H24&amp;CHAR(39)))&amp;","&amp;IF(ISNUMBER(I24),I24,IF(I24="",0,CHAR(39)&amp;I24&amp;CHAR(39)))&amp;","&amp;IF(ISNUMBER(J24),J24,IF(J24="",0,CHAR(39)&amp;J24&amp;CHAR(39)))&amp;","&amp;IF(ISNUMBER(K24),K24,IF(K24="",0,CHAR(39)&amp;K24&amp;CHAR(39)))&amp;","&amp;IF(ISNUMBER(L24),L24,IF(L24="",0,CHAR(39)&amp;L24&amp;CHAR(39)))&amp;","&amp;IF(ISNUMBER(#REF!),#REF!,IF(#REF!="",0,CHAR(39)&amp;#REF!&amp;CHAR(39)))&amp;","&amp;IF(ISNUMBER(#REF!),#REF!,IF(#REF!="",0,CHAR(39)&amp;#REF!&amp;CHAR(39)))&amp;","&amp;IF(ISNUMBER(#REF!),#REF!,IF(#REF!="",0,CHAR(39)&amp;#REF!&amp;CHAR(39)))&amp;","&amp;IF(ISNUMBER(M24),M24,IF(M24="",0,CHAR(39)&amp;M24&amp;CHAR(39)))&amp;","&amp;IF(ISNUMBER(N24),N24,IF(N24="",0,CHAR(39)&amp;N24&amp;CHAR(39)))&amp;","&amp;IF(ISNUMBER(O24),O24,IF(O24="",0,CHAR(39)&amp;O24&amp;CHAR(39)))&amp;"],"</f>
        <v>#REF!</v>
      </c>
    </row>
    <row r="25" spans="1:17" x14ac:dyDescent="0.35">
      <c r="A25" s="15"/>
      <c r="B25">
        <f>SUM(H25:L25)</f>
        <v>10</v>
      </c>
      <c r="C25" s="3" t="s">
        <v>122</v>
      </c>
      <c r="E25">
        <v>0</v>
      </c>
      <c r="F25" s="3" t="s">
        <v>126</v>
      </c>
      <c r="G25" t="s">
        <v>77</v>
      </c>
      <c r="K25">
        <v>10</v>
      </c>
      <c r="M25" s="3"/>
      <c r="N25" s="3"/>
      <c r="Q25" t="e">
        <f>"["&amp;IF(ISNUMBER(C25),C25,IF(C25="",0,CHAR(39)&amp;C25&amp;CHAR(39)))&amp;","&amp;IF(ISNUMBER(D25),D25,IF(D25="",0,CHAR(39)&amp;D25&amp;CHAR(39)))&amp;","&amp;IF(ISNUMBER(E25),E25,IF(E25="",0,CHAR(39)&amp;E25&amp;CHAR(39)))&amp;","&amp;IF(ISNUMBER(F25),F25,IF(F25="",0,CHAR(39)&amp;F25&amp;CHAR(39)))&amp;","&amp;IF(ISNUMBER(G25),G25,IF(G25="",0,CHAR(39)&amp;G25&amp;CHAR(39)))&amp;","&amp;IF(ISNUMBER(H25),H25,IF(H25="",0,CHAR(39)&amp;H25&amp;CHAR(39)))&amp;","&amp;IF(ISNUMBER(I25),I25,IF(I25="",0,CHAR(39)&amp;I25&amp;CHAR(39)))&amp;","&amp;IF(ISNUMBER(J25),J25,IF(J25="",0,CHAR(39)&amp;J25&amp;CHAR(39)))&amp;","&amp;IF(ISNUMBER(K25),K25,IF(K25="",0,CHAR(39)&amp;K25&amp;CHAR(39)))&amp;","&amp;IF(ISNUMBER(L25),L25,IF(L25="",0,CHAR(39)&amp;L25&amp;CHAR(39)))&amp;","&amp;IF(ISNUMBER(#REF!),#REF!,IF(#REF!="",0,CHAR(39)&amp;#REF!&amp;CHAR(39)))&amp;","&amp;IF(ISNUMBER(#REF!),#REF!,IF(#REF!="",0,CHAR(39)&amp;#REF!&amp;CHAR(39)))&amp;","&amp;IF(ISNUMBER(#REF!),#REF!,IF(#REF!="",0,CHAR(39)&amp;#REF!&amp;CHAR(39)))&amp;","&amp;IF(ISNUMBER(M25),M25,IF(M25="",0,CHAR(39)&amp;M25&amp;CHAR(39)))&amp;","&amp;IF(ISNUMBER(N25),N25,IF(N25="",0,CHAR(39)&amp;N25&amp;CHAR(39)))&amp;","&amp;IF(ISNUMBER(O25),O25,IF(O25="",0,CHAR(39)&amp;O25&amp;CHAR(39)))&amp;"],"</f>
        <v>#REF!</v>
      </c>
    </row>
    <row r="26" spans="1:17" x14ac:dyDescent="0.35">
      <c r="A26" s="15"/>
      <c r="B26">
        <f>SUM(H26:L26)</f>
        <v>80</v>
      </c>
      <c r="C26" s="3" t="s">
        <v>136</v>
      </c>
      <c r="E26">
        <v>40</v>
      </c>
      <c r="F26" s="3" t="s">
        <v>78</v>
      </c>
      <c r="G26" t="s">
        <v>77</v>
      </c>
      <c r="L26">
        <v>80</v>
      </c>
      <c r="M26" s="3"/>
      <c r="N26" s="3"/>
      <c r="Q26" t="e">
        <f>"["&amp;IF(ISNUMBER(C26),C26,IF(C26="",0,CHAR(39)&amp;C26&amp;CHAR(39)))&amp;","&amp;IF(ISNUMBER(D26),D26,IF(D26="",0,CHAR(39)&amp;D26&amp;CHAR(39)))&amp;","&amp;IF(ISNUMBER(E26),E26,IF(E26="",0,CHAR(39)&amp;E26&amp;CHAR(39)))&amp;","&amp;IF(ISNUMBER(F26),F26,IF(F26="",0,CHAR(39)&amp;F26&amp;CHAR(39)))&amp;","&amp;IF(ISNUMBER(G26),G26,IF(G26="",0,CHAR(39)&amp;G26&amp;CHAR(39)))&amp;","&amp;IF(ISNUMBER(H26),H26,IF(H26="",0,CHAR(39)&amp;H26&amp;CHAR(39)))&amp;","&amp;IF(ISNUMBER(I26),I26,IF(I26="",0,CHAR(39)&amp;I26&amp;CHAR(39)))&amp;","&amp;IF(ISNUMBER(J26),J26,IF(J26="",0,CHAR(39)&amp;J26&amp;CHAR(39)))&amp;","&amp;IF(ISNUMBER(K26),K26,IF(K26="",0,CHAR(39)&amp;K26&amp;CHAR(39)))&amp;","&amp;IF(ISNUMBER(L26),L26,IF(L26="",0,CHAR(39)&amp;L26&amp;CHAR(39)))&amp;","&amp;IF(ISNUMBER(#REF!),#REF!,IF(#REF!="",0,CHAR(39)&amp;#REF!&amp;CHAR(39)))&amp;","&amp;IF(ISNUMBER(#REF!),#REF!,IF(#REF!="",0,CHAR(39)&amp;#REF!&amp;CHAR(39)))&amp;","&amp;IF(ISNUMBER(#REF!),#REF!,IF(#REF!="",0,CHAR(39)&amp;#REF!&amp;CHAR(39)))&amp;","&amp;IF(ISNUMBER(M26),M26,IF(M26="",0,CHAR(39)&amp;M26&amp;CHAR(39)))&amp;","&amp;IF(ISNUMBER(N26),N26,IF(N26="",0,CHAR(39)&amp;N26&amp;CHAR(39)))&amp;","&amp;IF(ISNUMBER(O26),O26,IF(O26="",0,CHAR(39)&amp;O26&amp;CHAR(39)))&amp;"],"</f>
        <v>#REF!</v>
      </c>
    </row>
    <row r="27" spans="1:17" x14ac:dyDescent="0.35">
      <c r="A27" s="15"/>
      <c r="B27">
        <f>SUM(H27:L27)</f>
        <v>0</v>
      </c>
      <c r="C27" s="3" t="s">
        <v>109</v>
      </c>
      <c r="E27">
        <v>0</v>
      </c>
      <c r="F27" s="3" t="s">
        <v>80</v>
      </c>
      <c r="G27" t="s">
        <v>95</v>
      </c>
      <c r="M27" s="3"/>
      <c r="N27" s="3"/>
      <c r="Q27" t="e">
        <f>"["&amp;IF(ISNUMBER(C27),C27,IF(C27="",0,CHAR(39)&amp;C27&amp;CHAR(39)))&amp;","&amp;IF(ISNUMBER(D27),D27,IF(D27="",0,CHAR(39)&amp;D27&amp;CHAR(39)))&amp;","&amp;IF(ISNUMBER(E27),E27,IF(E27="",0,CHAR(39)&amp;E27&amp;CHAR(39)))&amp;","&amp;IF(ISNUMBER(F27),F27,IF(F27="",0,CHAR(39)&amp;F27&amp;CHAR(39)))&amp;","&amp;IF(ISNUMBER(G27),G27,IF(G27="",0,CHAR(39)&amp;G27&amp;CHAR(39)))&amp;","&amp;IF(ISNUMBER(H27),H27,IF(H27="",0,CHAR(39)&amp;H27&amp;CHAR(39)))&amp;","&amp;IF(ISNUMBER(I27),I27,IF(I27="",0,CHAR(39)&amp;I27&amp;CHAR(39)))&amp;","&amp;IF(ISNUMBER(J27),J27,IF(J27="",0,CHAR(39)&amp;J27&amp;CHAR(39)))&amp;","&amp;IF(ISNUMBER(K27),K27,IF(K27="",0,CHAR(39)&amp;K27&amp;CHAR(39)))&amp;","&amp;IF(ISNUMBER(L27),L27,IF(L27="",0,CHAR(39)&amp;L27&amp;CHAR(39)))&amp;","&amp;IF(ISNUMBER(#REF!),#REF!,IF(#REF!="",0,CHAR(39)&amp;#REF!&amp;CHAR(39)))&amp;","&amp;IF(ISNUMBER(#REF!),#REF!,IF(#REF!="",0,CHAR(39)&amp;#REF!&amp;CHAR(39)))&amp;","&amp;IF(ISNUMBER(#REF!),#REF!,IF(#REF!="",0,CHAR(39)&amp;#REF!&amp;CHAR(39)))&amp;","&amp;IF(ISNUMBER(M27),M27,IF(M27="",0,CHAR(39)&amp;M27&amp;CHAR(39)))&amp;","&amp;IF(ISNUMBER(N27),N27,IF(N27="",0,CHAR(39)&amp;N27&amp;CHAR(39)))&amp;","&amp;IF(ISNUMBER(O27),O27,IF(O27="",0,CHAR(39)&amp;O27&amp;CHAR(39)))&amp;"],"</f>
        <v>#REF!</v>
      </c>
    </row>
    <row r="28" spans="1:17" x14ac:dyDescent="0.35">
      <c r="A28" s="15"/>
      <c r="B28">
        <f>SUM(H28:L28)</f>
        <v>0</v>
      </c>
      <c r="C28" s="3" t="s">
        <v>110</v>
      </c>
      <c r="E28">
        <v>20</v>
      </c>
      <c r="F28" s="3" t="s">
        <v>81</v>
      </c>
      <c r="G28" t="s">
        <v>95</v>
      </c>
      <c r="M28" s="3"/>
      <c r="N28" s="3"/>
      <c r="Q28" t="e">
        <f>"["&amp;IF(ISNUMBER(C28),C28,IF(C28="",0,CHAR(39)&amp;C28&amp;CHAR(39)))&amp;","&amp;IF(ISNUMBER(D28),D28,IF(D28="",0,CHAR(39)&amp;D28&amp;CHAR(39)))&amp;","&amp;IF(ISNUMBER(E28),E28,IF(E28="",0,CHAR(39)&amp;E28&amp;CHAR(39)))&amp;","&amp;IF(ISNUMBER(F28),F28,IF(F28="",0,CHAR(39)&amp;F28&amp;CHAR(39)))&amp;","&amp;IF(ISNUMBER(G28),G28,IF(G28="",0,CHAR(39)&amp;G28&amp;CHAR(39)))&amp;","&amp;IF(ISNUMBER(H28),H28,IF(H28="",0,CHAR(39)&amp;H28&amp;CHAR(39)))&amp;","&amp;IF(ISNUMBER(I28),I28,IF(I28="",0,CHAR(39)&amp;I28&amp;CHAR(39)))&amp;","&amp;IF(ISNUMBER(J28),J28,IF(J28="",0,CHAR(39)&amp;J28&amp;CHAR(39)))&amp;","&amp;IF(ISNUMBER(K28),K28,IF(K28="",0,CHAR(39)&amp;K28&amp;CHAR(39)))&amp;","&amp;IF(ISNUMBER(L28),L28,IF(L28="",0,CHAR(39)&amp;L28&amp;CHAR(39)))&amp;","&amp;IF(ISNUMBER(#REF!),#REF!,IF(#REF!="",0,CHAR(39)&amp;#REF!&amp;CHAR(39)))&amp;","&amp;IF(ISNUMBER(#REF!),#REF!,IF(#REF!="",0,CHAR(39)&amp;#REF!&amp;CHAR(39)))&amp;","&amp;IF(ISNUMBER(#REF!),#REF!,IF(#REF!="",0,CHAR(39)&amp;#REF!&amp;CHAR(39)))&amp;","&amp;IF(ISNUMBER(M28),M28,IF(M28="",0,CHAR(39)&amp;M28&amp;CHAR(39)))&amp;","&amp;IF(ISNUMBER(N28),N28,IF(N28="",0,CHAR(39)&amp;N28&amp;CHAR(39)))&amp;","&amp;IF(ISNUMBER(O28),O28,IF(O28="",0,CHAR(39)&amp;O28&amp;CHAR(39)))&amp;"],"</f>
        <v>#REF!</v>
      </c>
    </row>
    <row r="29" spans="1:17" x14ac:dyDescent="0.35">
      <c r="A29" s="15"/>
      <c r="B29">
        <f>SUM(H29:L29)</f>
        <v>0</v>
      </c>
      <c r="C29" s="3" t="s">
        <v>111</v>
      </c>
      <c r="E29">
        <v>50</v>
      </c>
      <c r="F29" s="3" t="s">
        <v>113</v>
      </c>
      <c r="G29" t="s">
        <v>95</v>
      </c>
      <c r="M29" s="3"/>
      <c r="N29" s="3"/>
      <c r="Q29" t="e">
        <f>"["&amp;IF(ISNUMBER(C29),C29,IF(C29="",0,CHAR(39)&amp;C29&amp;CHAR(39)))&amp;","&amp;IF(ISNUMBER(D29),D29,IF(D29="",0,CHAR(39)&amp;D29&amp;CHAR(39)))&amp;","&amp;IF(ISNUMBER(E29),E29,IF(E29="",0,CHAR(39)&amp;E29&amp;CHAR(39)))&amp;","&amp;IF(ISNUMBER(F29),F29,IF(F29="",0,CHAR(39)&amp;F29&amp;CHAR(39)))&amp;","&amp;IF(ISNUMBER(G29),G29,IF(G29="",0,CHAR(39)&amp;G29&amp;CHAR(39)))&amp;","&amp;IF(ISNUMBER(H29),H29,IF(H29="",0,CHAR(39)&amp;H29&amp;CHAR(39)))&amp;","&amp;IF(ISNUMBER(I29),I29,IF(I29="",0,CHAR(39)&amp;I29&amp;CHAR(39)))&amp;","&amp;IF(ISNUMBER(J29),J29,IF(J29="",0,CHAR(39)&amp;J29&amp;CHAR(39)))&amp;","&amp;IF(ISNUMBER(K29),K29,IF(K29="",0,CHAR(39)&amp;K29&amp;CHAR(39)))&amp;","&amp;IF(ISNUMBER(L29),L29,IF(L29="",0,CHAR(39)&amp;L29&amp;CHAR(39)))&amp;","&amp;IF(ISNUMBER(#REF!),#REF!,IF(#REF!="",0,CHAR(39)&amp;#REF!&amp;CHAR(39)))&amp;","&amp;IF(ISNUMBER(#REF!),#REF!,IF(#REF!="",0,CHAR(39)&amp;#REF!&amp;CHAR(39)))&amp;","&amp;IF(ISNUMBER(#REF!),#REF!,IF(#REF!="",0,CHAR(39)&amp;#REF!&amp;CHAR(39)))&amp;","&amp;IF(ISNUMBER(M29),M29,IF(M29="",0,CHAR(39)&amp;M29&amp;CHAR(39)))&amp;","&amp;IF(ISNUMBER(N29),N29,IF(N29="",0,CHAR(39)&amp;N29&amp;CHAR(39)))&amp;","&amp;IF(ISNUMBER(O29),O29,IF(O29="",0,CHAR(39)&amp;O29&amp;CHAR(39)))&amp;"],"</f>
        <v>#REF!</v>
      </c>
    </row>
    <row r="30" spans="1:17" x14ac:dyDescent="0.35">
      <c r="A30" s="15"/>
      <c r="B30">
        <f>SUM(H30:L30)</f>
        <v>0</v>
      </c>
      <c r="C30" s="3" t="s">
        <v>112</v>
      </c>
      <c r="E30">
        <v>70</v>
      </c>
      <c r="F30" s="3" t="s">
        <v>100</v>
      </c>
      <c r="G30" t="s">
        <v>95</v>
      </c>
      <c r="M30" s="3"/>
      <c r="N30" s="3"/>
      <c r="Q30" t="e">
        <f>"["&amp;IF(ISNUMBER(C30),C30,IF(C30="",0,CHAR(39)&amp;C30&amp;CHAR(39)))&amp;","&amp;IF(ISNUMBER(D30),D30,IF(D30="",0,CHAR(39)&amp;D30&amp;CHAR(39)))&amp;","&amp;IF(ISNUMBER(E30),E30,IF(E30="",0,CHAR(39)&amp;E30&amp;CHAR(39)))&amp;","&amp;IF(ISNUMBER(F30),F30,IF(F30="",0,CHAR(39)&amp;F30&amp;CHAR(39)))&amp;","&amp;IF(ISNUMBER(G30),G30,IF(G30="",0,CHAR(39)&amp;G30&amp;CHAR(39)))&amp;","&amp;IF(ISNUMBER(H30),H30,IF(H30="",0,CHAR(39)&amp;H30&amp;CHAR(39)))&amp;","&amp;IF(ISNUMBER(I30),I30,IF(I30="",0,CHAR(39)&amp;I30&amp;CHAR(39)))&amp;","&amp;IF(ISNUMBER(J30),J30,IF(J30="",0,CHAR(39)&amp;J30&amp;CHAR(39)))&amp;","&amp;IF(ISNUMBER(K30),K30,IF(K30="",0,CHAR(39)&amp;K30&amp;CHAR(39)))&amp;","&amp;IF(ISNUMBER(L30),L30,IF(L30="",0,CHAR(39)&amp;L30&amp;CHAR(39)))&amp;","&amp;IF(ISNUMBER(#REF!),#REF!,IF(#REF!="",0,CHAR(39)&amp;#REF!&amp;CHAR(39)))&amp;","&amp;IF(ISNUMBER(#REF!),#REF!,IF(#REF!="",0,CHAR(39)&amp;#REF!&amp;CHAR(39)))&amp;","&amp;IF(ISNUMBER(#REF!),#REF!,IF(#REF!="",0,CHAR(39)&amp;#REF!&amp;CHAR(39)))&amp;","&amp;IF(ISNUMBER(M30),M30,IF(M30="",0,CHAR(39)&amp;M30&amp;CHAR(39)))&amp;","&amp;IF(ISNUMBER(N30),N30,IF(N30="",0,CHAR(39)&amp;N30&amp;CHAR(39)))&amp;","&amp;IF(ISNUMBER(O30),O30,IF(O30="",0,CHAR(39)&amp;O30&amp;CHAR(39)))&amp;"],"</f>
        <v>#REF!</v>
      </c>
    </row>
    <row r="31" spans="1:17" x14ac:dyDescent="0.35">
      <c r="A31" s="13" t="s">
        <v>83</v>
      </c>
      <c r="B31">
        <f>SUM(H31:L31)</f>
        <v>0</v>
      </c>
      <c r="C31" s="9" t="s">
        <v>85</v>
      </c>
      <c r="E31">
        <v>10</v>
      </c>
      <c r="F31" s="9" t="s">
        <v>86</v>
      </c>
      <c r="G31" t="s">
        <v>96</v>
      </c>
      <c r="M31" s="9"/>
      <c r="N31" s="9"/>
      <c r="Q31" t="e">
        <f>"["&amp;IF(ISNUMBER(C31),C31,IF(C31="",0,CHAR(39)&amp;C31&amp;CHAR(39)))&amp;","&amp;IF(ISNUMBER(D31),D31,IF(D31="",0,CHAR(39)&amp;D31&amp;CHAR(39)))&amp;","&amp;IF(ISNUMBER(E31),E31,IF(E31="",0,CHAR(39)&amp;E31&amp;CHAR(39)))&amp;","&amp;IF(ISNUMBER(F31),F31,IF(F31="",0,CHAR(39)&amp;F31&amp;CHAR(39)))&amp;","&amp;IF(ISNUMBER(G31),G31,IF(G31="",0,CHAR(39)&amp;G31&amp;CHAR(39)))&amp;","&amp;IF(ISNUMBER(H31),H31,IF(H31="",0,CHAR(39)&amp;H31&amp;CHAR(39)))&amp;","&amp;IF(ISNUMBER(I31),I31,IF(I31="",0,CHAR(39)&amp;I31&amp;CHAR(39)))&amp;","&amp;IF(ISNUMBER(J31),J31,IF(J31="",0,CHAR(39)&amp;J31&amp;CHAR(39)))&amp;","&amp;IF(ISNUMBER(K31),K31,IF(K31="",0,CHAR(39)&amp;K31&amp;CHAR(39)))&amp;","&amp;IF(ISNUMBER(L31),L31,IF(L31="",0,CHAR(39)&amp;L31&amp;CHAR(39)))&amp;","&amp;IF(ISNUMBER(#REF!),#REF!,IF(#REF!="",0,CHAR(39)&amp;#REF!&amp;CHAR(39)))&amp;","&amp;IF(ISNUMBER(#REF!),#REF!,IF(#REF!="",0,CHAR(39)&amp;#REF!&amp;CHAR(39)))&amp;","&amp;IF(ISNUMBER(#REF!),#REF!,IF(#REF!="",0,CHAR(39)&amp;#REF!&amp;CHAR(39)))&amp;","&amp;IF(ISNUMBER(M31),M31,IF(M31="",0,CHAR(39)&amp;M31&amp;CHAR(39)))&amp;","&amp;IF(ISNUMBER(N31),N31,IF(N31="",0,CHAR(39)&amp;N31&amp;CHAR(39)))&amp;","&amp;IF(ISNUMBER(O31),O31,IF(O31="",0,CHAR(39)&amp;O31&amp;CHAR(39)))&amp;"],"</f>
        <v>#REF!</v>
      </c>
    </row>
    <row r="32" spans="1:17" x14ac:dyDescent="0.35">
      <c r="A32" s="13"/>
      <c r="B32">
        <f>SUM(H32:L32)</f>
        <v>0</v>
      </c>
      <c r="C32" s="9" t="s">
        <v>97</v>
      </c>
      <c r="E32">
        <v>10</v>
      </c>
      <c r="F32" s="9" t="s">
        <v>98</v>
      </c>
      <c r="G32" t="s">
        <v>96</v>
      </c>
      <c r="M32" s="9"/>
      <c r="N32" s="9"/>
      <c r="Q32" t="e">
        <f>"["&amp;IF(ISNUMBER(C32),C32,IF(C32="",0,CHAR(39)&amp;C32&amp;CHAR(39)))&amp;","&amp;IF(ISNUMBER(D32),D32,IF(D32="",0,CHAR(39)&amp;D32&amp;CHAR(39)))&amp;","&amp;IF(ISNUMBER(E32),E32,IF(E32="",0,CHAR(39)&amp;E32&amp;CHAR(39)))&amp;","&amp;IF(ISNUMBER(F32),F32,IF(F32="",0,CHAR(39)&amp;F32&amp;CHAR(39)))&amp;","&amp;IF(ISNUMBER(G32),G32,IF(G32="",0,CHAR(39)&amp;G32&amp;CHAR(39)))&amp;","&amp;IF(ISNUMBER(H32),H32,IF(H32="",0,CHAR(39)&amp;H32&amp;CHAR(39)))&amp;","&amp;IF(ISNUMBER(I32),I32,IF(I32="",0,CHAR(39)&amp;I32&amp;CHAR(39)))&amp;","&amp;IF(ISNUMBER(J32),J32,IF(J32="",0,CHAR(39)&amp;J32&amp;CHAR(39)))&amp;","&amp;IF(ISNUMBER(K32),K32,IF(K32="",0,CHAR(39)&amp;K32&amp;CHAR(39)))&amp;","&amp;IF(ISNUMBER(L32),L32,IF(L32="",0,CHAR(39)&amp;L32&amp;CHAR(39)))&amp;","&amp;IF(ISNUMBER(#REF!),#REF!,IF(#REF!="",0,CHAR(39)&amp;#REF!&amp;CHAR(39)))&amp;","&amp;IF(ISNUMBER(#REF!),#REF!,IF(#REF!="",0,CHAR(39)&amp;#REF!&amp;CHAR(39)))&amp;","&amp;IF(ISNUMBER(#REF!),#REF!,IF(#REF!="",0,CHAR(39)&amp;#REF!&amp;CHAR(39)))&amp;","&amp;IF(ISNUMBER(M32),M32,IF(M32="",0,CHAR(39)&amp;M32&amp;CHAR(39)))&amp;","&amp;IF(ISNUMBER(N32),N32,IF(N32="",0,CHAR(39)&amp;N32&amp;CHAR(39)))&amp;","&amp;IF(ISNUMBER(O32),O32,IF(O32="",0,CHAR(39)&amp;O32&amp;CHAR(39)))&amp;"],"</f>
        <v>#REF!</v>
      </c>
    </row>
    <row r="33" spans="1:17" x14ac:dyDescent="0.35">
      <c r="A33" s="13"/>
      <c r="B33">
        <f>SUM(H33:L33)</f>
        <v>0</v>
      </c>
      <c r="C33" s="9" t="s">
        <v>127</v>
      </c>
      <c r="E33">
        <v>10</v>
      </c>
      <c r="F33" s="9" t="s">
        <v>128</v>
      </c>
      <c r="G33" t="s">
        <v>96</v>
      </c>
      <c r="M33" s="9"/>
      <c r="N33" s="9"/>
      <c r="Q33" t="e">
        <f>"["&amp;IF(ISNUMBER(C33),C33,IF(C33="",0,CHAR(39)&amp;C33&amp;CHAR(39)))&amp;","&amp;IF(ISNUMBER(D33),D33,IF(D33="",0,CHAR(39)&amp;D33&amp;CHAR(39)))&amp;","&amp;IF(ISNUMBER(E33),E33,IF(E33="",0,CHAR(39)&amp;E33&amp;CHAR(39)))&amp;","&amp;IF(ISNUMBER(F33),F33,IF(F33="",0,CHAR(39)&amp;F33&amp;CHAR(39)))&amp;","&amp;IF(ISNUMBER(G33),G33,IF(G33="",0,CHAR(39)&amp;G33&amp;CHAR(39)))&amp;","&amp;IF(ISNUMBER(H33),H33,IF(H33="",0,CHAR(39)&amp;H33&amp;CHAR(39)))&amp;","&amp;IF(ISNUMBER(I33),I33,IF(I33="",0,CHAR(39)&amp;I33&amp;CHAR(39)))&amp;","&amp;IF(ISNUMBER(J33),J33,IF(J33="",0,CHAR(39)&amp;J33&amp;CHAR(39)))&amp;","&amp;IF(ISNUMBER(K33),K33,IF(K33="",0,CHAR(39)&amp;K33&amp;CHAR(39)))&amp;","&amp;IF(ISNUMBER(L33),L33,IF(L33="",0,CHAR(39)&amp;L33&amp;CHAR(39)))&amp;","&amp;IF(ISNUMBER(#REF!),#REF!,IF(#REF!="",0,CHAR(39)&amp;#REF!&amp;CHAR(39)))&amp;","&amp;IF(ISNUMBER(#REF!),#REF!,IF(#REF!="",0,CHAR(39)&amp;#REF!&amp;CHAR(39)))&amp;","&amp;IF(ISNUMBER(#REF!),#REF!,IF(#REF!="",0,CHAR(39)&amp;#REF!&amp;CHAR(39)))&amp;","&amp;IF(ISNUMBER(M33),M33,IF(M33="",0,CHAR(39)&amp;M33&amp;CHAR(39)))&amp;"],"</f>
        <v>#REF!</v>
      </c>
    </row>
    <row r="34" spans="1:17" x14ac:dyDescent="0.35">
      <c r="A34" s="13"/>
      <c r="B34">
        <f>SUM(H34:L34)</f>
        <v>0</v>
      </c>
      <c r="C34" s="9" t="s">
        <v>129</v>
      </c>
      <c r="E34">
        <v>10</v>
      </c>
      <c r="F34" s="9" t="s">
        <v>130</v>
      </c>
      <c r="G34" t="s">
        <v>96</v>
      </c>
      <c r="M34" s="9"/>
      <c r="N34" s="9"/>
      <c r="Q34" t="e">
        <f>"["&amp;IF(ISNUMBER(C34),C34,IF(C34="",0,CHAR(39)&amp;C34&amp;CHAR(39)))&amp;","&amp;IF(ISNUMBER(D34),D34,IF(D34="",0,CHAR(39)&amp;D34&amp;CHAR(39)))&amp;","&amp;IF(ISNUMBER(E34),E34,IF(E34="",0,CHAR(39)&amp;E34&amp;CHAR(39)))&amp;","&amp;IF(ISNUMBER(F34),F34,IF(F34="",0,CHAR(39)&amp;F34&amp;CHAR(39)))&amp;","&amp;IF(ISNUMBER(G34),G34,IF(G34="",0,CHAR(39)&amp;G34&amp;CHAR(39)))&amp;","&amp;IF(ISNUMBER(H34),H34,IF(H34="",0,CHAR(39)&amp;H34&amp;CHAR(39)))&amp;","&amp;IF(ISNUMBER(I34),I34,IF(I34="",0,CHAR(39)&amp;I34&amp;CHAR(39)))&amp;","&amp;IF(ISNUMBER(J34),J34,IF(J34="",0,CHAR(39)&amp;J34&amp;CHAR(39)))&amp;","&amp;IF(ISNUMBER(K34),K34,IF(K34="",0,CHAR(39)&amp;K34&amp;CHAR(39)))&amp;","&amp;IF(ISNUMBER(L34),L34,IF(L34="",0,CHAR(39)&amp;L34&amp;CHAR(39)))&amp;","&amp;IF(ISNUMBER(#REF!),#REF!,IF(#REF!="",0,CHAR(39)&amp;#REF!&amp;CHAR(39)))&amp;","&amp;IF(ISNUMBER(#REF!),#REF!,IF(#REF!="",0,CHAR(39)&amp;#REF!&amp;CHAR(39)))&amp;","&amp;IF(ISNUMBER(#REF!),#REF!,IF(#REF!="",0,CHAR(39)&amp;#REF!&amp;CHAR(39)))&amp;","&amp;IF(ISNUMBER(M34),M34,IF(M34="",0,CHAR(39)&amp;M34&amp;CHAR(39)))&amp;"],"</f>
        <v>#REF!</v>
      </c>
    </row>
    <row r="35" spans="1:17" x14ac:dyDescent="0.35">
      <c r="A35" s="13"/>
      <c r="B35">
        <f>SUM(H35:L35)</f>
        <v>0</v>
      </c>
      <c r="C35" s="9" t="s">
        <v>131</v>
      </c>
      <c r="E35">
        <v>10</v>
      </c>
      <c r="F35" s="9" t="s">
        <v>132</v>
      </c>
      <c r="G35" t="s">
        <v>96</v>
      </c>
      <c r="M35" s="9"/>
      <c r="N35" s="9"/>
      <c r="Q35" t="e">
        <f>"["&amp;IF(ISNUMBER(C35),C35,IF(C35="",0,CHAR(39)&amp;C35&amp;CHAR(39)))&amp;","&amp;IF(ISNUMBER(D35),D35,IF(D35="",0,CHAR(39)&amp;D35&amp;CHAR(39)))&amp;","&amp;IF(ISNUMBER(E35),E35,IF(E35="",0,CHAR(39)&amp;E35&amp;CHAR(39)))&amp;","&amp;IF(ISNUMBER(F35),F35,IF(F35="",0,CHAR(39)&amp;F35&amp;CHAR(39)))&amp;","&amp;IF(ISNUMBER(G35),G35,IF(G35="",0,CHAR(39)&amp;G35&amp;CHAR(39)))&amp;","&amp;IF(ISNUMBER(H35),H35,IF(H35="",0,CHAR(39)&amp;H35&amp;CHAR(39)))&amp;","&amp;IF(ISNUMBER(I35),I35,IF(I35="",0,CHAR(39)&amp;I35&amp;CHAR(39)))&amp;","&amp;IF(ISNUMBER(J35),J35,IF(J35="",0,CHAR(39)&amp;J35&amp;CHAR(39)))&amp;","&amp;IF(ISNUMBER(K35),K35,IF(K35="",0,CHAR(39)&amp;K35&amp;CHAR(39)))&amp;","&amp;IF(ISNUMBER(L35),L35,IF(L35="",0,CHAR(39)&amp;L35&amp;CHAR(39)))&amp;","&amp;IF(ISNUMBER(#REF!),#REF!,IF(#REF!="",0,CHAR(39)&amp;#REF!&amp;CHAR(39)))&amp;","&amp;IF(ISNUMBER(#REF!),#REF!,IF(#REF!="",0,CHAR(39)&amp;#REF!&amp;CHAR(39)))&amp;","&amp;IF(ISNUMBER(#REF!),#REF!,IF(#REF!="",0,CHAR(39)&amp;#REF!&amp;CHAR(39)))&amp;","&amp;IF(ISNUMBER(M35),M35,IF(M35="",0,CHAR(39)&amp;M35&amp;CHAR(39)))&amp;"],"</f>
        <v>#REF!</v>
      </c>
    </row>
    <row r="36" spans="1:17" x14ac:dyDescent="0.35">
      <c r="A36" s="13"/>
      <c r="B36">
        <f>SUM(H36:L36)</f>
        <v>0</v>
      </c>
      <c r="C36" s="9" t="s">
        <v>133</v>
      </c>
      <c r="E36">
        <v>10</v>
      </c>
      <c r="F36" s="9" t="s">
        <v>134</v>
      </c>
      <c r="G36" t="s">
        <v>96</v>
      </c>
      <c r="M36" s="9"/>
      <c r="N36" s="9"/>
      <c r="Q36" t="e">
        <f>"["&amp;IF(ISNUMBER(C36),C36,IF(C36="",0,CHAR(39)&amp;C36&amp;CHAR(39)))&amp;","&amp;IF(ISNUMBER(D36),D36,IF(D36="",0,CHAR(39)&amp;D36&amp;CHAR(39)))&amp;","&amp;IF(ISNUMBER(E36),E36,IF(E36="",0,CHAR(39)&amp;E36&amp;CHAR(39)))&amp;","&amp;IF(ISNUMBER(F36),F36,IF(F36="",0,CHAR(39)&amp;F36&amp;CHAR(39)))&amp;","&amp;IF(ISNUMBER(G36),G36,IF(G36="",0,CHAR(39)&amp;G36&amp;CHAR(39)))&amp;","&amp;IF(ISNUMBER(H36),H36,IF(H36="",0,CHAR(39)&amp;H36&amp;CHAR(39)))&amp;","&amp;IF(ISNUMBER(I36),I36,IF(I36="",0,CHAR(39)&amp;I36&amp;CHAR(39)))&amp;","&amp;IF(ISNUMBER(J36),J36,IF(J36="",0,CHAR(39)&amp;J36&amp;CHAR(39)))&amp;","&amp;IF(ISNUMBER(K36),K36,IF(K36="",0,CHAR(39)&amp;K36&amp;CHAR(39)))&amp;","&amp;IF(ISNUMBER(L36),L36,IF(L36="",0,CHAR(39)&amp;L36&amp;CHAR(39)))&amp;","&amp;IF(ISNUMBER(#REF!),#REF!,IF(#REF!="",0,CHAR(39)&amp;#REF!&amp;CHAR(39)))&amp;","&amp;IF(ISNUMBER(#REF!),#REF!,IF(#REF!="",0,CHAR(39)&amp;#REF!&amp;CHAR(39)))&amp;","&amp;IF(ISNUMBER(#REF!),#REF!,IF(#REF!="",0,CHAR(39)&amp;#REF!&amp;CHAR(39)))&amp;","&amp;IF(ISNUMBER(M36),M36,IF(M36="",0,CHAR(39)&amp;M36&amp;CHAR(39)))&amp;"],"</f>
        <v>#REF!</v>
      </c>
    </row>
    <row r="37" spans="1:17" x14ac:dyDescent="0.35">
      <c r="A37" s="13"/>
      <c r="B37">
        <f>SUM(H37:L37)</f>
        <v>0</v>
      </c>
      <c r="C37" s="9"/>
      <c r="F37" s="9"/>
      <c r="G37" t="s">
        <v>96</v>
      </c>
      <c r="M37" s="9"/>
      <c r="N37" s="9"/>
      <c r="Q37" t="e">
        <f>"["&amp;IF(ISNUMBER(C37),C37,IF(C37="",0,CHAR(39)&amp;C37&amp;CHAR(39)))&amp;","&amp;IF(ISNUMBER(D37),D37,IF(D37="",0,CHAR(39)&amp;D37&amp;CHAR(39)))&amp;","&amp;IF(ISNUMBER(E37),E37,IF(E37="",0,CHAR(39)&amp;E37&amp;CHAR(39)))&amp;","&amp;IF(ISNUMBER(F37),F37,IF(F37="",0,CHAR(39)&amp;F37&amp;CHAR(39)))&amp;","&amp;IF(ISNUMBER(G37),G37,IF(G37="",0,CHAR(39)&amp;G37&amp;CHAR(39)))&amp;","&amp;IF(ISNUMBER(H37),H37,IF(H37="",0,CHAR(39)&amp;H37&amp;CHAR(39)))&amp;","&amp;IF(ISNUMBER(I37),I37,IF(I37="",0,CHAR(39)&amp;I37&amp;CHAR(39)))&amp;","&amp;IF(ISNUMBER(J37),J37,IF(J37="",0,CHAR(39)&amp;J37&amp;CHAR(39)))&amp;","&amp;IF(ISNUMBER(K37),K37,IF(K37="",0,CHAR(39)&amp;K37&amp;CHAR(39)))&amp;","&amp;IF(ISNUMBER(L37),L37,IF(L37="",0,CHAR(39)&amp;L37&amp;CHAR(39)))&amp;","&amp;IF(ISNUMBER(#REF!),#REF!,IF(#REF!="",0,CHAR(39)&amp;#REF!&amp;CHAR(39)))&amp;","&amp;IF(ISNUMBER(#REF!),#REF!,IF(#REF!="",0,CHAR(39)&amp;#REF!&amp;CHAR(39)))&amp;","&amp;IF(ISNUMBER(#REF!),#REF!,IF(#REF!="",0,CHAR(39)&amp;#REF!&amp;CHAR(39)))&amp;","&amp;IF(ISNUMBER(M37),M37,IF(M37="",0,CHAR(39)&amp;M37&amp;CHAR(39)))&amp;"],"</f>
        <v>#REF!</v>
      </c>
    </row>
    <row r="38" spans="1:17" x14ac:dyDescent="0.35">
      <c r="A38" s="13"/>
      <c r="B38">
        <f>SUM(H38:L38)</f>
        <v>0</v>
      </c>
      <c r="C38" s="9"/>
      <c r="F38" s="9"/>
      <c r="G38" t="s">
        <v>96</v>
      </c>
      <c r="M38" s="9"/>
      <c r="N38" s="9"/>
      <c r="Q38" t="e">
        <f>"["&amp;IF(ISNUMBER(C38),C38,IF(C38="",0,CHAR(39)&amp;C38&amp;CHAR(39)))&amp;","&amp;IF(ISNUMBER(D38),D38,IF(D38="",0,CHAR(39)&amp;D38&amp;CHAR(39)))&amp;","&amp;IF(ISNUMBER(E38),E38,IF(E38="",0,CHAR(39)&amp;E38&amp;CHAR(39)))&amp;","&amp;IF(ISNUMBER(F38),F38,IF(F38="",0,CHAR(39)&amp;F38&amp;CHAR(39)))&amp;","&amp;IF(ISNUMBER(G38),G38,IF(G38="",0,CHAR(39)&amp;G38&amp;CHAR(39)))&amp;","&amp;IF(ISNUMBER(H38),H38,IF(H38="",0,CHAR(39)&amp;H38&amp;CHAR(39)))&amp;","&amp;IF(ISNUMBER(I38),I38,IF(I38="",0,CHAR(39)&amp;I38&amp;CHAR(39)))&amp;","&amp;IF(ISNUMBER(J38),J38,IF(J38="",0,CHAR(39)&amp;J38&amp;CHAR(39)))&amp;","&amp;IF(ISNUMBER(K38),K38,IF(K38="",0,CHAR(39)&amp;K38&amp;CHAR(39)))&amp;","&amp;IF(ISNUMBER(L38),L38,IF(L38="",0,CHAR(39)&amp;L38&amp;CHAR(39)))&amp;","&amp;IF(ISNUMBER(#REF!),#REF!,IF(#REF!="",0,CHAR(39)&amp;#REF!&amp;CHAR(39)))&amp;","&amp;IF(ISNUMBER(#REF!),#REF!,IF(#REF!="",0,CHAR(39)&amp;#REF!&amp;CHAR(39)))&amp;","&amp;IF(ISNUMBER(#REF!),#REF!,IF(#REF!="",0,CHAR(39)&amp;#REF!&amp;CHAR(39)))&amp;","&amp;IF(ISNUMBER(M38),M38,IF(M38="",0,CHAR(39)&amp;M38&amp;CHAR(39)))&amp;"],"</f>
        <v>#REF!</v>
      </c>
    </row>
  </sheetData>
  <mergeCells count="5">
    <mergeCell ref="A31:A38"/>
    <mergeCell ref="H1:K1"/>
    <mergeCell ref="A4:A13"/>
    <mergeCell ref="A18:A30"/>
    <mergeCell ref="A14:A17"/>
  </mergeCells>
  <conditionalFormatting sqref="C1:C1048576">
    <cfRule type="duplicateValues" dxfId="11" priority="1"/>
  </conditionalFormatting>
  <conditionalFormatting sqref="C31:C1048576 C1:C17">
    <cfRule type="duplicateValues" dxfId="10" priority="16"/>
  </conditionalFormatting>
  <conditionalFormatting sqref="Q2:R2 D2:L2">
    <cfRule type="duplicateValues" dxfId="9" priority="15"/>
  </conditionalFormatting>
  <conditionalFormatting sqref="F31:F38">
    <cfRule type="duplicateValues" dxfId="8" priority="3"/>
  </conditionalFormatting>
  <conditionalFormatting sqref="M2">
    <cfRule type="duplicateValues" dxfId="7" priority="7"/>
  </conditionalFormatting>
  <conditionalFormatting sqref="M3">
    <cfRule type="duplicateValues" dxfId="6" priority="5"/>
  </conditionalFormatting>
  <conditionalFormatting sqref="M31:N38">
    <cfRule type="duplicateValues" dxfId="5" priority="4"/>
  </conditionalFormatting>
  <conditionalFormatting sqref="N3:O3">
    <cfRule type="duplicateValues" dxfId="4" priority="9"/>
  </conditionalFormatting>
  <conditionalFormatting sqref="N2:P2">
    <cfRule type="duplicateValues" dxfId="3" priority="10"/>
  </conditionalFormatting>
  <conditionalFormatting sqref="E4:E56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2" sqref="A2"/>
    </sheetView>
  </sheetViews>
  <sheetFormatPr defaultColWidth="97.453125" defaultRowHeight="57" customHeight="1" x14ac:dyDescent="0.35"/>
  <cols>
    <col min="1" max="16384" width="97.453125" style="10"/>
  </cols>
  <sheetData>
    <row r="1" spans="1:1" ht="57" customHeight="1" x14ac:dyDescent="0.35">
      <c r="A1" s="11" t="s">
        <v>106</v>
      </c>
    </row>
    <row r="2" spans="1:1" ht="57" customHeight="1" x14ac:dyDescent="0.35">
      <c r="A2" s="10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Z31"/>
  <sheetViews>
    <sheetView workbookViewId="0">
      <selection activeCell="N8" sqref="N8"/>
    </sheetView>
  </sheetViews>
  <sheetFormatPr defaultRowHeight="14.5" x14ac:dyDescent="0.35"/>
  <cols>
    <col min="4" max="4" width="13" customWidth="1"/>
    <col min="5" max="6" width="7.36328125" customWidth="1"/>
    <col min="7" max="7" width="14.36328125" customWidth="1"/>
    <col min="8" max="8" width="11.54296875" customWidth="1"/>
  </cols>
  <sheetData>
    <row r="2" spans="2:26" x14ac:dyDescent="0.35">
      <c r="D2" t="s">
        <v>0</v>
      </c>
      <c r="I2" t="str">
        <f>LEFT(I3,1)</f>
        <v>e</v>
      </c>
      <c r="J2" t="str">
        <f t="shared" ref="J2:Z2" si="0">LEFT(J3,1)</f>
        <v>f</v>
      </c>
      <c r="K2" t="str">
        <f t="shared" si="0"/>
        <v>w</v>
      </c>
      <c r="L2" t="str">
        <f t="shared" si="0"/>
        <v>p</v>
      </c>
      <c r="M2" t="str">
        <f t="shared" si="0"/>
        <v>m</v>
      </c>
      <c r="N2" t="str">
        <f t="shared" si="0"/>
        <v>t</v>
      </c>
      <c r="O2" t="str">
        <f t="shared" si="0"/>
        <v>a</v>
      </c>
      <c r="P2" t="s">
        <v>14</v>
      </c>
      <c r="R2" t="str">
        <f t="shared" si="0"/>
        <v/>
      </c>
      <c r="S2" t="str">
        <f t="shared" si="0"/>
        <v/>
      </c>
      <c r="T2" t="str">
        <f t="shared" si="0"/>
        <v/>
      </c>
      <c r="U2" t="str">
        <f t="shared" si="0"/>
        <v/>
      </c>
      <c r="V2" t="str">
        <f t="shared" si="0"/>
        <v/>
      </c>
      <c r="W2" t="str">
        <f t="shared" si="0"/>
        <v/>
      </c>
      <c r="X2" t="str">
        <f t="shared" si="0"/>
        <v/>
      </c>
      <c r="Y2" t="str">
        <f t="shared" si="0"/>
        <v/>
      </c>
      <c r="Z2" t="str">
        <f t="shared" si="0"/>
        <v/>
      </c>
    </row>
    <row r="3" spans="2:26" x14ac:dyDescent="0.35">
      <c r="B3" t="s">
        <v>9</v>
      </c>
      <c r="C3" t="s">
        <v>0</v>
      </c>
      <c r="D3" t="s">
        <v>15</v>
      </c>
      <c r="E3" t="s">
        <v>8</v>
      </c>
      <c r="F3" t="s">
        <v>6</v>
      </c>
      <c r="G3" t="s">
        <v>16</v>
      </c>
      <c r="H3" t="s">
        <v>17</v>
      </c>
      <c r="I3" t="s">
        <v>2</v>
      </c>
      <c r="J3" t="s">
        <v>4</v>
      </c>
      <c r="K3" t="s">
        <v>3</v>
      </c>
      <c r="L3" t="s">
        <v>7</v>
      </c>
      <c r="M3" t="s">
        <v>13</v>
      </c>
      <c r="N3" t="s">
        <v>10</v>
      </c>
      <c r="O3" t="s">
        <v>11</v>
      </c>
      <c r="P3" t="str" cm="1">
        <f t="array" ref="P3">"["&amp;_xlfn.TEXTJOIN(",",FALSE,IF(ISTEXT(D3:O3),""""&amp;D3:O3&amp;"""",IF(D3:O3="",0,D3:O3)))&amp;"],"</f>
        <v>["terminal","delay","question","pretty","action","energy","food","water","parts","metals","titanium","alloy"],</v>
      </c>
    </row>
    <row r="4" spans="2:26" x14ac:dyDescent="0.35">
      <c r="B4">
        <f>SUM(E4:AA4)</f>
        <v>55</v>
      </c>
      <c r="C4" t="str">
        <f>LEFT(D4,1)</f>
        <v>r</v>
      </c>
      <c r="D4" s="1" t="s">
        <v>1</v>
      </c>
      <c r="E4">
        <v>15</v>
      </c>
      <c r="F4">
        <v>0</v>
      </c>
      <c r="G4" t="s">
        <v>18</v>
      </c>
      <c r="H4" t="s">
        <v>38</v>
      </c>
      <c r="I4">
        <v>40</v>
      </c>
      <c r="P4" t="str" cm="1">
        <f t="array" ref="P4">"["&amp;_xlfn.TEXTJOIN(",",FALSE,IF(ISTEXT(D4:O4),""""&amp;D4:O4&amp;"""",IF(D4:O4="",0,D4:O4)))&amp;"],"</f>
        <v>["reactor",15,0,"Reactor","REPAIR",40,0,0,0,0,0,0],</v>
      </c>
    </row>
    <row r="5" spans="2:26" x14ac:dyDescent="0.35">
      <c r="B5">
        <f t="shared" ref="B5:B31" si="1">SUM(E5:AA5)</f>
        <v>55</v>
      </c>
      <c r="C5" t="str">
        <f t="shared" ref="C5:C31" si="2">LEFT(D5,1)</f>
        <v>s</v>
      </c>
      <c r="D5" s="1" t="s">
        <v>53</v>
      </c>
      <c r="E5">
        <v>20</v>
      </c>
      <c r="F5">
        <v>10</v>
      </c>
      <c r="G5" t="s">
        <v>22</v>
      </c>
      <c r="H5" t="s">
        <v>38</v>
      </c>
      <c r="I5">
        <v>25</v>
      </c>
      <c r="P5" t="str" cm="1">
        <f t="array" ref="P5">"["&amp;_xlfn.TEXTJOIN(",",FALSE,IF(ISTEXT(D5:O5),""""&amp;D5:O5&amp;"""",IF(D5:O5="",0,D5:O5)))&amp;"],"</f>
        <v>["solar",20,10,"Solar Array","REPAIR",25,0,0,0,0,0,0],</v>
      </c>
      <c r="S5" t="str">
        <f>" * @property {number} "&amp;D5</f>
        <v xml:space="preserve"> * @property {number} solar</v>
      </c>
    </row>
    <row r="6" spans="2:26" x14ac:dyDescent="0.35">
      <c r="B6">
        <f t="shared" si="1"/>
        <v>57</v>
      </c>
      <c r="C6" t="str">
        <f t="shared" si="2"/>
        <v>h</v>
      </c>
      <c r="D6" s="1" t="s">
        <v>41</v>
      </c>
      <c r="E6">
        <v>12</v>
      </c>
      <c r="F6">
        <v>20</v>
      </c>
      <c r="G6" t="s">
        <v>19</v>
      </c>
      <c r="H6" t="s">
        <v>38</v>
      </c>
      <c r="J6">
        <v>15</v>
      </c>
      <c r="K6">
        <v>10</v>
      </c>
      <c r="P6" t="str" cm="1">
        <f t="array" ref="P6">"["&amp;_xlfn.TEXTJOIN(",",FALSE,IF(ISTEXT(D6:O6),""""&amp;D6:O6&amp;"""",IF(D6:O6="",0,D6:O6)))&amp;"],"</f>
        <v>["hydro",12,20,"Hydroponics","REPAIR",0,15,10,0,0,0,0],</v>
      </c>
      <c r="S6" t="str">
        <f t="shared" ref="S6:S23" si="3">" * @property {number} "&amp;D6</f>
        <v xml:space="preserve"> * @property {number} hydro</v>
      </c>
    </row>
    <row r="7" spans="2:26" x14ac:dyDescent="0.35">
      <c r="B7">
        <f t="shared" si="1"/>
        <v>55</v>
      </c>
      <c r="C7" t="str">
        <f t="shared" si="2"/>
        <v>w</v>
      </c>
      <c r="D7" s="1" t="s">
        <v>3</v>
      </c>
      <c r="E7">
        <v>10</v>
      </c>
      <c r="F7">
        <v>20</v>
      </c>
      <c r="G7" t="s">
        <v>23</v>
      </c>
      <c r="H7" t="s">
        <v>38</v>
      </c>
      <c r="K7">
        <v>25</v>
      </c>
      <c r="P7" t="str" cm="1">
        <f t="array" ref="P7">"["&amp;_xlfn.TEXTJOIN(",",FALSE,IF(ISTEXT(D7:O7),""""&amp;D7:O7&amp;"""",IF(D7:O7="",0,D7:O7)))&amp;"],"</f>
        <v>["water",10,20,"Water recycler","REPAIR",0,0,25,0,0,0,0],</v>
      </c>
      <c r="S7" t="str">
        <f t="shared" si="3"/>
        <v xml:space="preserve"> * @property {number} water</v>
      </c>
    </row>
    <row r="8" spans="2:26" x14ac:dyDescent="0.35">
      <c r="B8">
        <f t="shared" si="1"/>
        <v>48</v>
      </c>
      <c r="C8" t="str">
        <f t="shared" si="2"/>
        <v>c</v>
      </c>
      <c r="D8" s="1" t="s">
        <v>42</v>
      </c>
      <c r="E8">
        <v>8</v>
      </c>
      <c r="F8">
        <v>20</v>
      </c>
      <c r="G8" t="s">
        <v>24</v>
      </c>
      <c r="H8" t="s">
        <v>38</v>
      </c>
      <c r="J8">
        <v>10</v>
      </c>
      <c r="L8">
        <v>10</v>
      </c>
      <c r="P8" t="str" cm="1">
        <f t="array" ref="P8">"["&amp;_xlfn.TEXTJOIN(",",FALSE,IF(ISTEXT(D8:O8),""""&amp;D8:O8&amp;"""",IF(D8:O8="",0,D8:O8)))&amp;"],"</f>
        <v>["cargo",8,20,"Cargo bay","REPAIR",0,10,0,10,0,0,0],</v>
      </c>
      <c r="S8" t="str">
        <f t="shared" si="3"/>
        <v xml:space="preserve"> * @property {number} cargo</v>
      </c>
    </row>
    <row r="9" spans="2:26" x14ac:dyDescent="0.35">
      <c r="B9">
        <f t="shared" si="1"/>
        <v>92</v>
      </c>
      <c r="C9" t="str">
        <f t="shared" si="2"/>
        <v>c</v>
      </c>
      <c r="D9" s="1" t="s">
        <v>5</v>
      </c>
      <c r="E9">
        <v>12</v>
      </c>
      <c r="F9">
        <v>50</v>
      </c>
      <c r="G9" t="s">
        <v>25</v>
      </c>
      <c r="H9" t="s">
        <v>38</v>
      </c>
      <c r="L9">
        <v>30</v>
      </c>
      <c r="P9" t="str" cm="1">
        <f t="array" ref="P9">"["&amp;_xlfn.TEXTJOIN(",",FALSE,IF(ISTEXT(D9:O9),""""&amp;D9:O9&amp;"""",IF(D9:O9="",0,D9:O9)))&amp;"],"</f>
        <v>["comms",12,50,"Comms array","REPAIR",0,0,0,30,0,0,0],</v>
      </c>
      <c r="S9" t="str">
        <f t="shared" si="3"/>
        <v xml:space="preserve"> * @property {number} comms</v>
      </c>
    </row>
    <row r="10" spans="2:26" x14ac:dyDescent="0.35">
      <c r="B10">
        <f t="shared" si="1"/>
        <v>95</v>
      </c>
      <c r="C10" t="str">
        <f t="shared" si="2"/>
        <v>f</v>
      </c>
      <c r="D10" s="1" t="s">
        <v>55</v>
      </c>
      <c r="E10">
        <v>10</v>
      </c>
      <c r="F10">
        <v>60</v>
      </c>
      <c r="G10" t="s">
        <v>20</v>
      </c>
      <c r="H10" t="s">
        <v>38</v>
      </c>
      <c r="K10">
        <v>20</v>
      </c>
      <c r="L10">
        <v>5</v>
      </c>
      <c r="P10" t="str" cm="1">
        <f t="array" ref="P10">"["&amp;_xlfn.TEXTJOIN(",",FALSE,IF(ISTEXT(D10:O10),""""&amp;D10:O10&amp;"""",IF(D10:O10="",0,D10:O10)))&amp;"],"</f>
        <v>["fab",10,60,"Fabricator","REPAIR",0,0,20,5,0,0,0],</v>
      </c>
      <c r="S10" t="str">
        <f t="shared" si="3"/>
        <v xml:space="preserve"> * @property {number} fab</v>
      </c>
    </row>
    <row r="11" spans="2:26" x14ac:dyDescent="0.35">
      <c r="B11">
        <f t="shared" si="1"/>
        <v>50</v>
      </c>
      <c r="C11" t="str">
        <f t="shared" si="2"/>
        <v>m</v>
      </c>
      <c r="D11" s="1" t="s">
        <v>43</v>
      </c>
      <c r="E11">
        <v>10</v>
      </c>
      <c r="F11">
        <v>30</v>
      </c>
      <c r="G11" t="s">
        <v>26</v>
      </c>
      <c r="H11" t="s">
        <v>38</v>
      </c>
      <c r="L11">
        <v>10</v>
      </c>
      <c r="P11" t="str" cm="1">
        <f t="array" ref="P11">"["&amp;_xlfn.TEXTJOIN(",",FALSE,IF(ISTEXT(D11:O11),""""&amp;D11:O11&amp;"""",IF(D11:O11="",0,D11:O11)))&amp;"],"</f>
        <v>["med",10,30,"Medical bay","REPAIR",0,0,0,10,0,0,0],</v>
      </c>
      <c r="S11" t="str">
        <f t="shared" si="3"/>
        <v xml:space="preserve"> * @property {number} med</v>
      </c>
    </row>
    <row r="12" spans="2:26" x14ac:dyDescent="0.35">
      <c r="B12">
        <f t="shared" si="1"/>
        <v>55</v>
      </c>
      <c r="C12" t="str">
        <f t="shared" si="2"/>
        <v>l</v>
      </c>
      <c r="D12" s="1" t="s">
        <v>44</v>
      </c>
      <c r="E12">
        <v>20</v>
      </c>
      <c r="F12">
        <v>10</v>
      </c>
      <c r="G12" t="s">
        <v>27</v>
      </c>
      <c r="H12" t="s">
        <v>38</v>
      </c>
      <c r="J12">
        <v>10</v>
      </c>
      <c r="K12">
        <v>15</v>
      </c>
      <c r="P12" t="str" cm="1">
        <f t="array" ref="P12">"["&amp;_xlfn.TEXTJOIN(",",FALSE,IF(ISTEXT(D12:O12),""""&amp;D12:O12&amp;"""",IF(D12:O12="",0,D12:O12)))&amp;"],"</f>
        <v>["life",20,10,"Life support","REPAIR",0,10,15,0,0,0,0],</v>
      </c>
      <c r="S12" t="str">
        <f t="shared" si="3"/>
        <v xml:space="preserve"> * @property {number} life</v>
      </c>
    </row>
    <row r="13" spans="2:26" x14ac:dyDescent="0.35">
      <c r="B13">
        <f t="shared" si="1"/>
        <v>87</v>
      </c>
      <c r="C13" t="str">
        <f t="shared" si="2"/>
        <v>m</v>
      </c>
      <c r="D13" s="1" t="s">
        <v>45</v>
      </c>
      <c r="E13">
        <v>12</v>
      </c>
      <c r="F13">
        <v>50</v>
      </c>
      <c r="G13" t="s">
        <v>28</v>
      </c>
      <c r="H13" t="s">
        <v>38</v>
      </c>
      <c r="K13">
        <v>25</v>
      </c>
      <c r="P13" t="str" cm="1">
        <f t="array" ref="P13">"["&amp;_xlfn.TEXTJOIN(",",FALSE,IF(ISTEXT(D13:O13),""""&amp;D13:O13&amp;"""",IF(D13:O13="",0,D13:O13)))&amp;"],"</f>
        <v>["machine",12,50,"Machine shop","REPAIR",0,0,25,0,0,0,0],</v>
      </c>
      <c r="S13" t="str">
        <f t="shared" si="3"/>
        <v xml:space="preserve"> * @property {number} machine</v>
      </c>
    </row>
    <row r="14" spans="2:26" x14ac:dyDescent="0.35">
      <c r="C14" t="str">
        <f t="shared" si="2"/>
        <v>s</v>
      </c>
      <c r="D14" s="1" t="s">
        <v>46</v>
      </c>
      <c r="G14" t="s">
        <v>29</v>
      </c>
      <c r="H14" t="s">
        <v>37</v>
      </c>
      <c r="P14" t="str" cm="1">
        <f t="array" ref="P14">"["&amp;_xlfn.TEXTJOIN(",",FALSE,IF(ISTEXT(D14:O14),""""&amp;D14:O14&amp;"""",IF(D14:O14="",0,D14:O14)))&amp;"],"</f>
        <v>["shuttle",0,0,"Shuttle bay","USE",0,0,0,0,0,0,0],</v>
      </c>
      <c r="S14" t="str">
        <f t="shared" si="3"/>
        <v xml:space="preserve"> * @property {number} shuttle</v>
      </c>
    </row>
    <row r="15" spans="2:26" x14ac:dyDescent="0.35">
      <c r="C15" t="str">
        <f t="shared" si="2"/>
        <v>a</v>
      </c>
      <c r="D15" s="1" t="s">
        <v>54</v>
      </c>
      <c r="G15" t="s">
        <v>39</v>
      </c>
      <c r="H15" t="s">
        <v>37</v>
      </c>
      <c r="P15" t="str" cm="1">
        <f t="array" ref="P15">"["&amp;_xlfn.TEXTJOIN(",",FALSE,IF(ISTEXT(D15:O15),""""&amp;D15:O15&amp;"""",IF(D15:O15="",0,D15:O15)))&amp;"],"</f>
        <v>["access",0,0,"Upgrade center","USE",0,0,0,0,0,0,0],</v>
      </c>
      <c r="S15" t="str">
        <f t="shared" si="3"/>
        <v xml:space="preserve"> * @property {number} access</v>
      </c>
    </row>
    <row r="16" spans="2:26" x14ac:dyDescent="0.35">
      <c r="C16" t="str">
        <f t="shared" si="2"/>
        <v>d</v>
      </c>
      <c r="D16" s="1" t="s">
        <v>47</v>
      </c>
      <c r="G16" t="s">
        <v>40</v>
      </c>
      <c r="H16" t="s">
        <v>37</v>
      </c>
      <c r="P16" t="str" cm="1">
        <f t="array" ref="P16">"["&amp;_xlfn.TEXTJOIN(",",FALSE,IF(ISTEXT(D16:O16),""""&amp;D16:O16&amp;"""",IF(D16:O16="",0,D16:O16)))&amp;"],"</f>
        <v>["door",0,0,"ACCESS KEY NEEDED","USE",0,0,0,0,0,0,0],</v>
      </c>
      <c r="S16" t="str">
        <f t="shared" si="3"/>
        <v xml:space="preserve"> * @property {number} door</v>
      </c>
    </row>
    <row r="17" spans="2:19" x14ac:dyDescent="0.35">
      <c r="B17">
        <f t="shared" si="1"/>
        <v>100</v>
      </c>
      <c r="C17" t="str">
        <f t="shared" si="2"/>
        <v>m</v>
      </c>
      <c r="D17" s="1" t="s">
        <v>48</v>
      </c>
      <c r="E17">
        <v>15</v>
      </c>
      <c r="F17">
        <v>60</v>
      </c>
      <c r="G17" t="s">
        <v>30</v>
      </c>
      <c r="H17" t="s">
        <v>36</v>
      </c>
      <c r="I17">
        <v>10</v>
      </c>
      <c r="M17">
        <v>10</v>
      </c>
      <c r="N17">
        <v>5</v>
      </c>
      <c r="P17" t="str" cm="1">
        <f t="array" ref="P17">"["&amp;_xlfn.TEXTJOIN(",",FALSE,IF(ISTEXT(D17:O17),""""&amp;D17:O17&amp;"""",IF(D17:O17="",0,D17:O17)))&amp;"],"</f>
        <v>["mining",15,60,"Mining station","CAPTURE",10,0,0,0,10,5,0],</v>
      </c>
      <c r="S17" t="str">
        <f t="shared" si="3"/>
        <v xml:space="preserve"> * @property {number} mining</v>
      </c>
    </row>
    <row r="18" spans="2:19" x14ac:dyDescent="0.35">
      <c r="B18">
        <f t="shared" si="1"/>
        <v>75</v>
      </c>
      <c r="C18" t="str">
        <f t="shared" si="2"/>
        <v>s</v>
      </c>
      <c r="D18" s="1" t="s">
        <v>12</v>
      </c>
      <c r="E18">
        <v>10</v>
      </c>
      <c r="F18">
        <v>40</v>
      </c>
      <c r="G18" t="s">
        <v>21</v>
      </c>
      <c r="H18" t="s">
        <v>36</v>
      </c>
      <c r="L18">
        <v>15</v>
      </c>
      <c r="N18">
        <v>10</v>
      </c>
      <c r="P18" t="str" cm="1">
        <f t="array" ref="P18">"["&amp;_xlfn.TEXTJOIN(",",FALSE,IF(ISTEXT(D18:O18),""""&amp;D18:O18&amp;"""",IF(D18:O18="",0,D18:O18)))&amp;"],"</f>
        <v>["scrapyard",10,40,"Scrapyard","CAPTURE",0,0,0,15,0,10,0],</v>
      </c>
      <c r="S18" t="str">
        <f t="shared" si="3"/>
        <v xml:space="preserve"> * @property {number} scrapyard</v>
      </c>
    </row>
    <row r="19" spans="2:19" x14ac:dyDescent="0.35">
      <c r="B19">
        <f t="shared" si="1"/>
        <v>127</v>
      </c>
      <c r="C19" t="str">
        <f t="shared" si="2"/>
        <v>d</v>
      </c>
      <c r="D19" s="1" t="s">
        <v>49</v>
      </c>
      <c r="E19">
        <v>12</v>
      </c>
      <c r="F19">
        <v>70</v>
      </c>
      <c r="G19" t="s">
        <v>31</v>
      </c>
      <c r="H19" t="s">
        <v>36</v>
      </c>
      <c r="L19">
        <v>30</v>
      </c>
      <c r="M19">
        <v>5</v>
      </c>
      <c r="N19">
        <v>5</v>
      </c>
      <c r="O19">
        <v>5</v>
      </c>
      <c r="P19" t="str" cm="1">
        <f t="array" ref="P19">"["&amp;_xlfn.TEXTJOIN(",",FALSE,IF(ISTEXT(D19:O19),""""&amp;D19:O19&amp;"""",IF(D19:O19="",0,D19:O19)))&amp;"],"</f>
        <v>["data",12,70,"Data vault","CAPTURE",0,0,0,30,5,5,5],</v>
      </c>
      <c r="S19" t="str">
        <f t="shared" si="3"/>
        <v xml:space="preserve"> * @property {number} data</v>
      </c>
    </row>
    <row r="20" spans="2:19" x14ac:dyDescent="0.35">
      <c r="B20">
        <f t="shared" si="1"/>
        <v>125</v>
      </c>
      <c r="C20" t="str">
        <f t="shared" si="2"/>
        <v>s</v>
      </c>
      <c r="D20" s="1" t="s">
        <v>50</v>
      </c>
      <c r="E20">
        <v>15</v>
      </c>
      <c r="F20">
        <v>80</v>
      </c>
      <c r="G20" t="s">
        <v>32</v>
      </c>
      <c r="H20" t="s">
        <v>36</v>
      </c>
      <c r="K20">
        <v>15</v>
      </c>
      <c r="M20">
        <v>10</v>
      </c>
      <c r="O20">
        <v>5</v>
      </c>
      <c r="P20" t="str" cm="1">
        <f t="array" ref="P20">"["&amp;_xlfn.TEXTJOIN(",",FALSE,IF(ISTEXT(D20:O20),""""&amp;D20:O20&amp;"""",IF(D20:O20="",0,D20:O20)))&amp;"],"</f>
        <v>["supply",15,80,"Supply depot","CAPTURE",0,0,15,0,10,0,5],</v>
      </c>
      <c r="S20" t="str">
        <f t="shared" si="3"/>
        <v xml:space="preserve"> * @property {number} supply</v>
      </c>
    </row>
    <row r="21" spans="2:19" x14ac:dyDescent="0.35">
      <c r="B21">
        <f t="shared" si="1"/>
        <v>140</v>
      </c>
      <c r="C21" t="str">
        <f t="shared" si="2"/>
        <v>f</v>
      </c>
      <c r="D21" s="1" t="s">
        <v>51</v>
      </c>
      <c r="E21">
        <v>10</v>
      </c>
      <c r="F21">
        <v>90</v>
      </c>
      <c r="G21" t="s">
        <v>33</v>
      </c>
      <c r="H21" t="s">
        <v>36</v>
      </c>
      <c r="I21">
        <v>20</v>
      </c>
      <c r="N21">
        <v>10</v>
      </c>
      <c r="O21">
        <v>10</v>
      </c>
      <c r="P21" t="str" cm="1">
        <f t="array" ref="P21">"["&amp;_xlfn.TEXTJOIN(",",FALSE,IF(ISTEXT(D21:O21),""""&amp;D21:O21&amp;"""",IF(D21:O21="",0,D21:O21)))&amp;"],"</f>
        <v>["fusion",10,90,"Fusion core","CAPTURE",20,0,0,0,0,10,10],</v>
      </c>
      <c r="S21" t="str">
        <f t="shared" si="3"/>
        <v xml:space="preserve"> * @property {number} fusion</v>
      </c>
    </row>
    <row r="22" spans="2:19" x14ac:dyDescent="0.35">
      <c r="B22">
        <f t="shared" si="1"/>
        <v>170</v>
      </c>
      <c r="C22" t="str">
        <f t="shared" si="2"/>
        <v>a</v>
      </c>
      <c r="D22" s="1" t="s">
        <v>11</v>
      </c>
      <c r="E22">
        <v>20</v>
      </c>
      <c r="F22">
        <v>100</v>
      </c>
      <c r="G22" t="s">
        <v>34</v>
      </c>
      <c r="H22" t="s">
        <v>36</v>
      </c>
      <c r="I22">
        <v>30</v>
      </c>
      <c r="M22">
        <v>20</v>
      </c>
      <c r="P22" t="str" cm="1">
        <f t="array" ref="P22">"["&amp;_xlfn.TEXTJOIN(",",FALSE,IF(ISTEXT(D22:O22),""""&amp;D22:O22&amp;"""",IF(D22:O22="",0,D22:O22)))&amp;"],"</f>
        <v>["alloy",20,100,"Alloy plant","CAPTURE",30,0,0,0,20,0,0],</v>
      </c>
      <c r="S22" t="str">
        <f t="shared" si="3"/>
        <v xml:space="preserve"> * @property {number} alloy</v>
      </c>
    </row>
    <row r="23" spans="2:19" x14ac:dyDescent="0.35">
      <c r="B23">
        <f t="shared" si="1"/>
        <v>127</v>
      </c>
      <c r="C23" t="str">
        <f t="shared" si="2"/>
        <v>r</v>
      </c>
      <c r="D23" s="1" t="s">
        <v>52</v>
      </c>
      <c r="E23">
        <v>12</v>
      </c>
      <c r="F23">
        <v>85</v>
      </c>
      <c r="G23" t="s">
        <v>35</v>
      </c>
      <c r="H23" t="s">
        <v>36</v>
      </c>
      <c r="I23">
        <v>10</v>
      </c>
      <c r="N23">
        <v>15</v>
      </c>
      <c r="O23">
        <v>5</v>
      </c>
      <c r="P23" t="str" cm="1">
        <f t="array" ref="P23">"["&amp;_xlfn.TEXTJOIN(",",FALSE,IF(ISTEXT(D23:O23),""""&amp;D23:O23&amp;"""",IF(D23:O23="",0,D23:O23)))&amp;"],"</f>
        <v>["research",12,85,"Research lab","CAPTURE",10,0,0,0,0,15,5],</v>
      </c>
      <c r="S23" t="str">
        <f t="shared" si="3"/>
        <v xml:space="preserve"> * @property {number} research</v>
      </c>
    </row>
    <row r="24" spans="2:19" x14ac:dyDescent="0.35">
      <c r="B24">
        <f t="shared" si="1"/>
        <v>0</v>
      </c>
      <c r="C24" t="str">
        <f t="shared" si="2"/>
        <v/>
      </c>
    </row>
    <row r="25" spans="2:19" x14ac:dyDescent="0.35">
      <c r="B25">
        <f t="shared" si="1"/>
        <v>0</v>
      </c>
      <c r="C25" t="str">
        <f t="shared" si="2"/>
        <v/>
      </c>
    </row>
    <row r="26" spans="2:19" x14ac:dyDescent="0.35">
      <c r="B26">
        <f t="shared" si="1"/>
        <v>0</v>
      </c>
      <c r="C26" t="str">
        <f t="shared" si="2"/>
        <v/>
      </c>
    </row>
    <row r="27" spans="2:19" x14ac:dyDescent="0.35">
      <c r="B27">
        <f t="shared" si="1"/>
        <v>0</v>
      </c>
      <c r="C27" t="str">
        <f t="shared" si="2"/>
        <v/>
      </c>
    </row>
    <row r="28" spans="2:19" x14ac:dyDescent="0.35">
      <c r="B28">
        <f t="shared" si="1"/>
        <v>0</v>
      </c>
      <c r="C28" t="str">
        <f t="shared" si="2"/>
        <v/>
      </c>
    </row>
    <row r="29" spans="2:19" x14ac:dyDescent="0.35">
      <c r="B29">
        <f t="shared" si="1"/>
        <v>0</v>
      </c>
      <c r="C29" t="str">
        <f t="shared" si="2"/>
        <v/>
      </c>
    </row>
    <row r="30" spans="2:19" x14ac:dyDescent="0.35">
      <c r="B30">
        <f t="shared" si="1"/>
        <v>0</v>
      </c>
      <c r="C30" t="str">
        <f t="shared" si="2"/>
        <v/>
      </c>
    </row>
    <row r="31" spans="2:19" x14ac:dyDescent="0.35">
      <c r="B31">
        <f t="shared" si="1"/>
        <v>0</v>
      </c>
      <c r="C31" t="str">
        <f t="shared" si="2"/>
        <v/>
      </c>
    </row>
  </sheetData>
  <conditionalFormatting sqref="C4:C31">
    <cfRule type="duplicateValues" dxfId="2" priority="4"/>
  </conditionalFormatting>
  <conditionalFormatting sqref="D1:D1048576">
    <cfRule type="duplicateValues" dxfId="1" priority="1"/>
  </conditionalFormatting>
  <conditionalFormatting sqref="E2:AB2">
    <cfRule type="duplicateValues" dxfId="0" priority="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sheetwithani</vt:lpstr>
      <vt:lpstr>conventions</vt:lpstr>
      <vt:lpstr>bad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István Zsombó</dc:creator>
  <cp:lastModifiedBy>Istvan Zsombo</cp:lastModifiedBy>
  <dcterms:created xsi:type="dcterms:W3CDTF">2015-06-05T18:17:20Z</dcterms:created>
  <dcterms:modified xsi:type="dcterms:W3CDTF">2026-05-13T08:28:59Z</dcterms:modified>
</cp:coreProperties>
</file>