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xr:revisionPtr revIDLastSave="0" documentId="13_ncr:1_{99A9362A-E0E2-45F5-811D-C5430AEBCA9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withani" sheetId="3" r:id="rId1"/>
    <sheet name="conventions" sheetId="4" r:id="rId2"/>
    <sheet name="bad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3" l="1"/>
  <c r="R17" i="3"/>
  <c r="R20" i="3"/>
  <c r="B20" i="3"/>
  <c r="B30" i="3"/>
  <c r="R5" i="3"/>
  <c r="R6" i="3"/>
  <c r="R7" i="3"/>
  <c r="R8" i="3"/>
  <c r="R9" i="3"/>
  <c r="R10" i="3"/>
  <c r="R11" i="3"/>
  <c r="R12" i="3"/>
  <c r="R13" i="3"/>
  <c r="R14" i="3"/>
  <c r="R15" i="3"/>
  <c r="R16" i="3"/>
  <c r="R18" i="3"/>
  <c r="R19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3" i="3"/>
  <c r="R4" i="3"/>
  <c r="B28" i="3"/>
  <c r="B29" i="3"/>
  <c r="B24" i="3"/>
  <c r="B25" i="3"/>
  <c r="B26" i="3"/>
  <c r="B27" i="3"/>
  <c r="B31" i="3"/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1" i="3"/>
  <c r="B22" i="3"/>
  <c r="B23" i="3"/>
  <c r="B32" i="3"/>
  <c r="B33" i="3"/>
  <c r="B34" i="3"/>
  <c r="B35" i="3"/>
  <c r="B36" i="3"/>
  <c r="B37" i="3"/>
  <c r="B38" i="3"/>
  <c r="B39" i="3"/>
  <c r="B40" i="3"/>
  <c r="B41" i="3"/>
  <c r="B42" i="3"/>
  <c r="B43" i="3"/>
  <c r="L2" i="3" l="1"/>
  <c r="K2" i="3"/>
  <c r="J2" i="3"/>
  <c r="I2" i="3"/>
  <c r="H2" i="3"/>
  <c r="C16" i="1" l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P19" i="1" a="1"/>
  <c r="P3" i="1" a="1"/>
  <c r="P18" i="1" a="1"/>
  <c r="P20" i="1" a="1"/>
  <c r="P8" i="1" a="1"/>
  <c r="P6" i="1" a="1"/>
  <c r="P14" i="1" a="1"/>
  <c r="P9" i="1" a="1"/>
  <c r="P7" i="1" a="1"/>
  <c r="P10" i="1" a="1"/>
  <c r="P22" i="1" a="1"/>
  <c r="P15" i="1" a="1"/>
  <c r="P23" i="1" a="1"/>
  <c r="P21" i="1" a="1"/>
  <c r="P11" i="1" a="1"/>
  <c r="P16" i="1" a="1"/>
  <c r="P17" i="1" a="1"/>
  <c r="P13" i="1" a="1"/>
  <c r="P4" i="1" a="1"/>
  <c r="P5" i="1" a="1"/>
  <c r="P12" i="1" a="1"/>
  <c r="P11" i="1" l="1"/>
  <c r="B11" i="1" s="1"/>
  <c r="P20" i="1"/>
  <c r="B20" i="1" s="1"/>
  <c r="P14" i="1"/>
  <c r="P18" i="1"/>
  <c r="B18" i="1" s="1"/>
  <c r="P13" i="1"/>
  <c r="B13" i="1" s="1"/>
  <c r="P5" i="1"/>
  <c r="B5" i="1" s="1"/>
  <c r="P17" i="1"/>
  <c r="B17" i="1" s="1"/>
  <c r="P23" i="1"/>
  <c r="B23" i="1" s="1"/>
  <c r="P22" i="1"/>
  <c r="B22" i="1" s="1"/>
  <c r="P7" i="1"/>
  <c r="B7" i="1" s="1"/>
  <c r="P6" i="1"/>
  <c r="B6" i="1" s="1"/>
  <c r="P3" i="1"/>
  <c r="P12" i="1"/>
  <c r="B12" i="1" s="1"/>
  <c r="P4" i="1"/>
  <c r="B4" i="1" s="1"/>
  <c r="P16" i="1"/>
  <c r="P15" i="1"/>
  <c r="P10" i="1"/>
  <c r="B10" i="1" s="1"/>
  <c r="P9" i="1"/>
  <c r="B9" i="1" s="1"/>
  <c r="P8" i="1"/>
  <c r="B8" i="1" s="1"/>
  <c r="P19" i="1"/>
  <c r="B19" i="1" s="1"/>
  <c r="P21" i="1"/>
  <c r="B2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<sst xmlns="http://schemas.openxmlformats.org/spreadsheetml/2006/main" count="249" uniqueCount="151">
  <si>
    <t>firstletter</t>
  </si>
  <si>
    <t>reactor</t>
  </si>
  <si>
    <t>energy</t>
  </si>
  <si>
    <t>water</t>
  </si>
  <si>
    <t>food</t>
  </si>
  <si>
    <t>comms</t>
  </si>
  <si>
    <t>question</t>
  </si>
  <si>
    <t>parts</t>
  </si>
  <si>
    <t>delay</t>
  </si>
  <si>
    <t>VALUE</t>
  </si>
  <si>
    <t>titanium</t>
  </si>
  <si>
    <t>alloy</t>
  </si>
  <si>
    <t>scrapyard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</si>
  <si>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</si>
  <si>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</si>
  <si>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</si>
  <si>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</si>
  <si>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</si>
  <si>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</si>
  <si>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</si>
  <si>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</si>
  <si>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</si>
  <si>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</si>
  <si>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</si>
  <si>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</si>
  <si>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</si>
  <si>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</si>
  <si>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</si>
  <si>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</si>
  <si>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</si>
  <si>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</si>
  <si>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</si>
  <si>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</si>
  <si>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</si>
  <si>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</si>
  <si>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</si>
  <si>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</si>
  <si>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</si>
  <si>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</si>
  <si>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</si>
  <si>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</si>
  <si>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</si>
  <si>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</si>
  <si>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</si>
  <si>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</si>
  <si>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</si>
  <si>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</si>
  <si>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</si>
  <si>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</si>
  <si>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</si>
  <si>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</si>
  <si>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</si>
  <si>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</si>
  <si>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</si>
  <si>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</si>
  <si>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</si>
  <si>
    <t>Life Support</t>
  </si>
  <si>
    <t>anti</t>
  </si>
  <si>
    <t>Antimatter Chamber</t>
  </si>
  <si>
    <t>Water Recycler</t>
  </si>
  <si>
    <t>Homebase</t>
  </si>
  <si>
    <t>antimatter</t>
  </si>
  <si>
    <t>homebase</t>
  </si>
  <si>
    <t>utility</t>
  </si>
  <si>
    <t>Hostile</t>
  </si>
  <si>
    <t>Note</t>
  </si>
  <si>
    <t>JOINED:</t>
  </si>
  <si>
    <t>base</t>
  </si>
  <si>
    <t>upgrade1</t>
  </si>
  <si>
    <t>upgrade2</t>
  </si>
  <si>
    <t>upgrade3</t>
  </si>
  <si>
    <t>obs</t>
  </si>
  <si>
    <t>Observatory</t>
  </si>
  <si>
    <t>WORLDMAP</t>
  </si>
  <si>
    <t>Prerequisite</t>
  </si>
  <si>
    <t>fab,med,anti</t>
  </si>
  <si>
    <t>hazard</t>
  </si>
  <si>
    <t>CLAIM</t>
  </si>
  <si>
    <t>Antimatter traces</t>
  </si>
  <si>
    <t>upgrade</t>
  </si>
  <si>
    <t>Damaged door</t>
  </si>
  <si>
    <t>Locked door</t>
  </si>
  <si>
    <t>Description</t>
  </si>
  <si>
    <t>friendly</t>
  </si>
  <si>
    <t>description</t>
  </si>
  <si>
    <t>plants</t>
  </si>
  <si>
    <t>Plants</t>
  </si>
  <si>
    <t>chestenergy</t>
  </si>
  <si>
    <t>chestwater</t>
  </si>
  <si>
    <t>chestfood</t>
  </si>
  <si>
    <t>chestparts</t>
  </si>
  <si>
    <t>Parts box</t>
  </si>
  <si>
    <t>Energy cells</t>
  </si>
  <si>
    <t>Ice blocks</t>
  </si>
  <si>
    <t>Nutrient packs</t>
  </si>
  <si>
    <t>HACK</t>
  </si>
  <si>
    <t>RESTORE</t>
  </si>
  <si>
    <t>fridge</t>
  </si>
  <si>
    <t>Fridge</t>
  </si>
  <si>
    <t>bucket</t>
  </si>
  <si>
    <t>High security door</t>
  </si>
  <si>
    <t>Space Hazard Unit</t>
  </si>
  <si>
    <t>Allows you to explore space.</t>
  </si>
  <si>
    <t>Lets you peek into the endless void of space.</t>
  </si>
  <si>
    <t>TRAVEL</t>
  </si>
  <si>
    <t>SEEUPGRADES</t>
  </si>
  <si>
    <t>delay  = 0 means not a clockwork. Can be interacted with once then deactivates or does not change state. Everything else is a clockwork, producing when first activated then once every minute.</t>
  </si>
  <si>
    <t>firstletter:</t>
  </si>
  <si>
    <t>negative resoruce is an activation requirement (before question is assigned)</t>
  </si>
  <si>
    <t>door_easy</t>
  </si>
  <si>
    <t>door_medium</t>
  </si>
  <si>
    <t>door_hard</t>
  </si>
  <si>
    <t>door_extreme</t>
  </si>
  <si>
    <t>Reinforced door</t>
  </si>
  <si>
    <t>note</t>
  </si>
  <si>
    <t>prereq</t>
  </si>
  <si>
    <t>Travel to new locations!</t>
  </si>
  <si>
    <t>See available upgrades.</t>
  </si>
  <si>
    <t>req hazard on homebase only</t>
  </si>
  <si>
    <t>smallenergy</t>
  </si>
  <si>
    <t>smallwater</t>
  </si>
  <si>
    <t>smallfood</t>
  </si>
  <si>
    <t>smallparts</t>
  </si>
  <si>
    <t>Small battery</t>
  </si>
  <si>
    <t>Small water bottle</t>
  </si>
  <si>
    <t>Small candy bar</t>
  </si>
  <si>
    <t>Small circuits</t>
  </si>
  <si>
    <t>sink</t>
  </si>
  <si>
    <t>Sink</t>
  </si>
  <si>
    <t>shower</t>
  </si>
  <si>
    <t>Shower</t>
  </si>
  <si>
    <t>sofa</t>
  </si>
  <si>
    <t>Sofa</t>
  </si>
  <si>
    <t>table</t>
  </si>
  <si>
    <t>Table</t>
  </si>
  <si>
    <t>water,hydro</t>
  </si>
  <si>
    <t>Antimatter residue</t>
  </si>
  <si>
    <t>Antimatter deposit</t>
  </si>
  <si>
    <t>Antimatter vein</t>
  </si>
  <si>
    <t>anti3</t>
  </si>
  <si>
    <t>anti5</t>
  </si>
  <si>
    <t>anti8</t>
  </si>
  <si>
    <t>anti10</t>
  </si>
  <si>
    <t>Cost</t>
  </si>
  <si>
    <t>cost</t>
  </si>
  <si>
    <t>custom</t>
  </si>
  <si>
    <t>$$$$$</t>
  </si>
  <si>
    <t>x</t>
  </si>
  <si>
    <t>b||q</t>
  </si>
  <si>
    <t>shuttleHome</t>
  </si>
  <si>
    <t>will turn to shuttle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</si>
</sst>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10" borderId="0" xfId="0" applyFill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 textRotation="90"/>
    </xf>
    <xf numFmtId="0" fontId="0" fillId="9" borderId="0" xfId="0" applyFill="1" applyAlignment="1">
      <alignment horizontal="center" vertical="center" textRotation="90"/>
    </xf>
    <xf numFmtId="0" fontId="0" fillId="11" borderId="0" xfId="0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3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O18" sqref="O18"/>
    </sheetView>
  </sheetViews>
  <sheetFormatPr defaultRowHeight="14.4" x14ac:dyDescent="0.3"/>
  <cols>
    <col min="1" max="1" width="1.88671875" customWidth="1"/>
    <col min="2" max="2" width="4.109375" customWidth="1"/>
    <col min="3" max="3" width="13" customWidth="1"/>
    <col min="4" max="4" width="5.21875" customWidth="1"/>
    <col min="5" max="5" width="7" customWidth="1"/>
    <col min="6" max="6" width="20.33203125" customWidth="1"/>
    <col min="7" max="7" width="12.77734375" customWidth="1"/>
    <col min="8" max="13" width="7.109375" customWidth="1"/>
    <col min="14" max="14" width="30.77734375" customWidth="1"/>
    <col min="15" max="15" width="15.21875" customWidth="1"/>
    <col min="16" max="16" width="12.21875" customWidth="1"/>
    <col min="17" max="17" width="15.21875" customWidth="1"/>
    <col min="18" max="18" width="15.33203125" customWidth="1"/>
  </cols>
  <sheetData>
    <row r="1" spans="1:18" x14ac:dyDescent="0.3">
      <c r="H1" s="14" t="s">
        <v>60</v>
      </c>
      <c r="I1" s="14"/>
      <c r="J1" s="14"/>
      <c r="K1" s="14"/>
      <c r="L1" s="12" t="s">
        <v>64</v>
      </c>
      <c r="M1" s="12" t="s">
        <v>143</v>
      </c>
      <c r="N1" t="s">
        <v>82</v>
      </c>
      <c r="O1" t="s">
        <v>65</v>
      </c>
      <c r="P1" t="s">
        <v>74</v>
      </c>
    </row>
    <row r="2" spans="1:18" x14ac:dyDescent="0.3">
      <c r="C2" t="s">
        <v>107</v>
      </c>
      <c r="E2" t="s">
        <v>148</v>
      </c>
      <c r="F2" t="s">
        <v>147</v>
      </c>
      <c r="H2" s="2" t="str">
        <f>LEFT(H3,1)</f>
        <v>e</v>
      </c>
      <c r="I2" s="2" t="str">
        <f t="shared" ref="I2:L2" si="0">LEFT(I3,1)</f>
        <v>w</v>
      </c>
      <c r="J2" s="2" t="str">
        <f t="shared" si="0"/>
        <v>f</v>
      </c>
      <c r="K2" s="2" t="str">
        <f t="shared" si="0"/>
        <v>p</v>
      </c>
      <c r="L2" s="3" t="str">
        <f t="shared" si="0"/>
        <v>a</v>
      </c>
      <c r="M2" s="17"/>
      <c r="Q2" t="s">
        <v>66</v>
      </c>
    </row>
    <row r="3" spans="1:18" x14ac:dyDescent="0.3">
      <c r="B3" t="s">
        <v>9</v>
      </c>
      <c r="C3" t="s">
        <v>15</v>
      </c>
      <c r="D3" t="s">
        <v>8</v>
      </c>
      <c r="E3" t="s">
        <v>99</v>
      </c>
      <c r="F3" t="s">
        <v>16</v>
      </c>
      <c r="G3" t="s">
        <v>17</v>
      </c>
      <c r="H3" s="2" t="s">
        <v>2</v>
      </c>
      <c r="I3" s="2" t="s">
        <v>3</v>
      </c>
      <c r="J3" s="2" t="s">
        <v>4</v>
      </c>
      <c r="K3" s="2" t="s">
        <v>7</v>
      </c>
      <c r="L3" s="3" t="s">
        <v>61</v>
      </c>
      <c r="M3" s="17" t="s">
        <v>144</v>
      </c>
      <c r="N3" t="s">
        <v>84</v>
      </c>
      <c r="O3" s="3" t="s">
        <v>114</v>
      </c>
      <c r="P3" s="3" t="s">
        <v>115</v>
      </c>
      <c r="R3" t="str">
        <f>"["&amp;IF(ISNUMBER(C3),C3,IF(C3="",0,CHAR(39)&amp;C3&amp;CHAR(39)))&amp;","&amp;IF(ISNUMBER(D3),D3,IF(D3="",0,CHAR(39)&amp;D3&amp;CHAR(39)))&amp;","&amp;IF(ISNUMBER(E3),E3,IF(E3="",0,CHAR(39)&amp;E3&amp;CHAR(39)))&amp;","&amp;IF(ISNUMBER(F3),F3,IF(F3="",0,CHAR(39)&amp;F3&amp;CHAR(39)))&amp;","&amp;IF(ISNUMBER(G3),G3,IF(G3="",0,CHAR(39)&amp;G3&amp;CHAR(39)))&amp;","&amp;IF(ISNUMBER(H3),H3,IF(H3="",0,CHAR(39)&amp;H3&amp;CHAR(39)))&amp;","&amp;IF(ISNUMBER(I3),I3,IF(I3="",0,CHAR(39)&amp;I3&amp;CHAR(39)))&amp;","&amp;IF(ISNUMBER(J3),J3,IF(J3="",0,CHAR(39)&amp;J3&amp;CHAR(39)))&amp;","&amp;IF(ISNUMBER(K3),K3,IF(K3="",0,CHAR(39)&amp;K3&amp;CHAR(39)))&amp;","&amp;IF(ISNUMBER(L3),L3,IF(L3="",0,CHAR(39)&amp;L3&amp;CHAR(39)))&amp;","&amp;IF(ISNUMBER(M3),M3,IF(M3="",0,CHAR(39)&amp;M3&amp;CHAR(39)))&amp;","&amp;IF(ISNUMBER(N3),N3,IF(N3="",0,CHAR(39)&amp;N3&amp;CHAR(39)))&amp;","&amp;IF(ISNUMBER(O3),O3,IF(O3="",0,CHAR(39)&amp;O3&amp;CHAR(39)))&amp;","&amp;IF(ISNUMBER(P3),P3,IF(P3="",0,CHAR(39)&amp;P3&amp;CHAR(39)))&amp;"],"</f>
        <v>['terminal','delay','bucket','pretty','action','energy','water','food','parts','antimatter','cost','description','note','prereq'],</v>
      </c>
    </row>
    <row r="4" spans="1:18" x14ac:dyDescent="0.3">
      <c r="A4" s="13" t="s">
        <v>62</v>
      </c>
      <c r="B4">
        <f t="shared" ref="B4:B43" si="1">SUM(H4:L4)</f>
        <v>50</v>
      </c>
      <c r="C4" s="1" t="s">
        <v>1</v>
      </c>
      <c r="D4">
        <v>15</v>
      </c>
      <c r="E4">
        <v>0</v>
      </c>
      <c r="F4" s="4" t="s">
        <v>18</v>
      </c>
      <c r="G4" t="s">
        <v>38</v>
      </c>
      <c r="H4">
        <v>50</v>
      </c>
      <c r="N4" s="4"/>
      <c r="O4" s="4" t="s">
        <v>67</v>
      </c>
      <c r="R4" t="str">
        <f>"["&amp;IF(ISNUMBER(C4),C4,IF(C4="",0,CHAR(39)&amp;C4&amp;CHAR(39)))&amp;","&amp;IF(ISNUMBER(D4),D4,IF(D4="",0,CHAR(39)&amp;D4&amp;CHAR(39)))&amp;","&amp;IF(ISNUMBER(E4),E4,IF(E4="",0,CHAR(39)&amp;E4&amp;CHAR(39)))&amp;","&amp;IF(ISNUMBER(F4),F4,IF(F4="",0,CHAR(39)&amp;F4&amp;CHAR(39)))&amp;","&amp;IF(ISNUMBER(G4),G4,IF(G4="",0,CHAR(39)&amp;G4&amp;CHAR(39)))&amp;","&amp;IF(ISNUMBER(H4),H4,IF(H4="",0,CHAR(39)&amp;H4&amp;CHAR(39)))&amp;","&amp;IF(ISNUMBER(I4),I4,IF(I4="",0,CHAR(39)&amp;I4&amp;CHAR(39)))&amp;","&amp;IF(ISNUMBER(J4),J4,IF(J4="",0,CHAR(39)&amp;J4&amp;CHAR(39)))&amp;","&amp;IF(ISNUMBER(K4),K4,IF(K4="",0,CHAR(39)&amp;K4&amp;CHAR(39)))&amp;","&amp;IF(ISNUMBER(L4),L4,IF(L4="",0,CHAR(39)&amp;L4&amp;CHAR(39)))&amp;","&amp;IF(ISNUMBER(M4),M4,IF(M4="",0,CHAR(39)&amp;M4&amp;CHAR(39)))&amp;","&amp;IF(ISNUMBER(N4),N4,IF(N4="",0,CHAR(39)&amp;N4&amp;CHAR(39)))&amp;","&amp;IF(ISNUMBER(O4),O4,IF(O4="",0,CHAR(39)&amp;O4&amp;CHAR(39)))&amp;","&amp;IF(ISNUMBER(P4),P4,IF(P4="",0,CHAR(39)&amp;P4&amp;CHAR(39)))&amp;"],"</f>
        <v>['reactor',15,0,'Reactor','REPAIR',50,0,0,0,0,0,0,'base',0],</v>
      </c>
    </row>
    <row r="5" spans="1:18" x14ac:dyDescent="0.3">
      <c r="A5" s="13"/>
      <c r="B5">
        <f t="shared" si="1"/>
        <v>30</v>
      </c>
      <c r="C5" s="1" t="s">
        <v>53</v>
      </c>
      <c r="D5">
        <v>8</v>
      </c>
      <c r="E5">
        <v>10</v>
      </c>
      <c r="F5" s="5" t="s">
        <v>22</v>
      </c>
      <c r="G5" t="s">
        <v>38</v>
      </c>
      <c r="H5">
        <v>30</v>
      </c>
      <c r="N5" s="5"/>
      <c r="O5" s="5" t="s">
        <v>68</v>
      </c>
      <c r="P5" t="s">
        <v>1</v>
      </c>
      <c r="R5" t="str">
        <f t="shared" ref="R5:R43" si="2">"["&amp;IF(ISNUMBER(C5),C5,IF(C5="",0,CHAR(39)&amp;C5&amp;CHAR(39)))&amp;","&amp;IF(ISNUMBER(D5),D5,IF(D5="",0,CHAR(39)&amp;D5&amp;CHAR(39)))&amp;","&amp;IF(ISNUMBER(E5),E5,IF(E5="",0,CHAR(39)&amp;E5&amp;CHAR(39)))&amp;","&amp;IF(ISNUMBER(F5),F5,IF(F5="",0,CHAR(39)&amp;F5&amp;CHAR(39)))&amp;","&amp;IF(ISNUMBER(G5),G5,IF(G5="",0,CHAR(39)&amp;G5&amp;CHAR(39)))&amp;","&amp;IF(ISNUMBER(H5),H5,IF(H5="",0,CHAR(39)&amp;H5&amp;CHAR(39)))&amp;","&amp;IF(ISNUMBER(I5),I5,IF(I5="",0,CHAR(39)&amp;I5&amp;CHAR(39)))&amp;","&amp;IF(ISNUMBER(J5),J5,IF(J5="",0,CHAR(39)&amp;J5&amp;CHAR(39)))&amp;","&amp;IF(ISNUMBER(K5),K5,IF(K5="",0,CHAR(39)&amp;K5&amp;CHAR(39)))&amp;","&amp;IF(ISNUMBER(L5),L5,IF(L5="",0,CHAR(39)&amp;L5&amp;CHAR(39)))&amp;","&amp;IF(ISNUMBER(M5),M5,IF(M5="",0,CHAR(39)&amp;M5&amp;CHAR(39)))&amp;","&amp;IF(ISNUMBER(N5),N5,IF(N5="",0,CHAR(39)&amp;N5&amp;CHAR(39)))&amp;","&amp;IF(ISNUMBER(O5),O5,IF(O5="",0,CHAR(39)&amp;O5&amp;CHAR(39)))&amp;","&amp;IF(ISNUMBER(P5),P5,IF(P5="",0,CHAR(39)&amp;P5&amp;CHAR(39)))&amp;"],"</f>
        <v>['solar',8,10,'Solar Array','REPAIR',30,0,0,0,0,0,0,'upgrade1','reactor'],</v>
      </c>
    </row>
    <row r="6" spans="1:18" x14ac:dyDescent="0.3">
      <c r="A6" s="13"/>
      <c r="B6">
        <f t="shared" si="1"/>
        <v>40</v>
      </c>
      <c r="C6" s="1" t="s">
        <v>44</v>
      </c>
      <c r="D6">
        <v>12</v>
      </c>
      <c r="E6">
        <v>0</v>
      </c>
      <c r="F6" s="4" t="s">
        <v>56</v>
      </c>
      <c r="G6" t="s">
        <v>38</v>
      </c>
      <c r="I6">
        <v>20</v>
      </c>
      <c r="J6">
        <v>20</v>
      </c>
      <c r="N6" s="4"/>
      <c r="O6" s="4" t="s">
        <v>67</v>
      </c>
      <c r="R6" t="str">
        <f t="shared" si="2"/>
        <v>['life',12,0,'Life Support','REPAIR',0,20,20,0,0,0,0,'base',0],</v>
      </c>
    </row>
    <row r="7" spans="1:18" x14ac:dyDescent="0.3">
      <c r="A7" s="13"/>
      <c r="B7">
        <f t="shared" si="1"/>
        <v>30</v>
      </c>
      <c r="C7" s="1" t="s">
        <v>3</v>
      </c>
      <c r="D7">
        <v>6</v>
      </c>
      <c r="E7">
        <v>10</v>
      </c>
      <c r="F7" s="5" t="s">
        <v>59</v>
      </c>
      <c r="G7" t="s">
        <v>38</v>
      </c>
      <c r="I7">
        <v>30</v>
      </c>
      <c r="N7" s="5"/>
      <c r="O7" s="5" t="s">
        <v>68</v>
      </c>
      <c r="P7" t="s">
        <v>44</v>
      </c>
      <c r="R7" t="str">
        <f t="shared" si="2"/>
        <v>['water',6,10,'Water Recycler','REPAIR',0,30,0,0,0,0,0,'upgrade1','life'],</v>
      </c>
    </row>
    <row r="8" spans="1:18" x14ac:dyDescent="0.3">
      <c r="A8" s="13"/>
      <c r="B8">
        <f t="shared" si="1"/>
        <v>30</v>
      </c>
      <c r="C8" s="1" t="s">
        <v>41</v>
      </c>
      <c r="D8">
        <v>13</v>
      </c>
      <c r="E8">
        <v>10</v>
      </c>
      <c r="F8" s="5" t="s">
        <v>19</v>
      </c>
      <c r="G8" t="s">
        <v>38</v>
      </c>
      <c r="J8">
        <v>30</v>
      </c>
      <c r="N8" s="5"/>
      <c r="O8" s="5" t="s">
        <v>68</v>
      </c>
      <c r="P8" t="s">
        <v>44</v>
      </c>
      <c r="R8" t="str">
        <f t="shared" si="2"/>
        <v>['hydro',13,10,'Hydroponics','REPAIR',0,0,30,0,0,0,0,'upgrade1','life'],</v>
      </c>
    </row>
    <row r="9" spans="1:18" x14ac:dyDescent="0.3">
      <c r="A9" s="13"/>
      <c r="B9">
        <f t="shared" si="1"/>
        <v>20</v>
      </c>
      <c r="C9" s="1" t="s">
        <v>42</v>
      </c>
      <c r="D9">
        <v>4</v>
      </c>
      <c r="E9">
        <v>0</v>
      </c>
      <c r="F9" s="4" t="s">
        <v>24</v>
      </c>
      <c r="G9" t="s">
        <v>38</v>
      </c>
      <c r="K9">
        <v>20</v>
      </c>
      <c r="N9" s="4"/>
      <c r="O9" s="4" t="s">
        <v>67</v>
      </c>
      <c r="R9" t="str">
        <f t="shared" si="2"/>
        <v>['cargo',4,0,'Cargo bay','REPAIR',0,0,0,20,0,0,0,'base',0],</v>
      </c>
    </row>
    <row r="10" spans="1:18" x14ac:dyDescent="0.3">
      <c r="A10" s="13"/>
      <c r="B10">
        <f t="shared" si="1"/>
        <v>50</v>
      </c>
      <c r="C10" s="1" t="s">
        <v>5</v>
      </c>
      <c r="D10">
        <v>11</v>
      </c>
      <c r="E10">
        <v>10</v>
      </c>
      <c r="F10" s="5" t="s">
        <v>25</v>
      </c>
      <c r="G10" t="s">
        <v>38</v>
      </c>
      <c r="K10">
        <v>50</v>
      </c>
      <c r="N10" s="5"/>
      <c r="O10" s="5" t="s">
        <v>68</v>
      </c>
      <c r="P10" t="s">
        <v>42</v>
      </c>
      <c r="R10" t="str">
        <f t="shared" si="2"/>
        <v>['comms',11,10,'Comms array','REPAIR',0,0,0,50,0,0,0,'upgrade1','cargo'],</v>
      </c>
    </row>
    <row r="11" spans="1:18" x14ac:dyDescent="0.3">
      <c r="A11" s="13"/>
      <c r="B11">
        <f t="shared" si="1"/>
        <v>10</v>
      </c>
      <c r="C11" s="1" t="s">
        <v>55</v>
      </c>
      <c r="D11">
        <v>13</v>
      </c>
      <c r="E11">
        <v>20</v>
      </c>
      <c r="F11" s="6" t="s">
        <v>20</v>
      </c>
      <c r="G11" t="s">
        <v>38</v>
      </c>
      <c r="K11">
        <v>10</v>
      </c>
      <c r="N11" s="6"/>
      <c r="O11" s="6" t="s">
        <v>69</v>
      </c>
      <c r="P11" t="s">
        <v>5</v>
      </c>
      <c r="R11" t="str">
        <f t="shared" si="2"/>
        <v>['fab',13,20,'Fabricator','REPAIR',0,0,0,10,0,0,0,'upgrade2','comms'],</v>
      </c>
    </row>
    <row r="12" spans="1:18" x14ac:dyDescent="0.3">
      <c r="A12" s="13"/>
      <c r="B12">
        <f t="shared" si="1"/>
        <v>20</v>
      </c>
      <c r="C12" s="1" t="s">
        <v>43</v>
      </c>
      <c r="D12">
        <v>14</v>
      </c>
      <c r="E12">
        <v>20</v>
      </c>
      <c r="F12" s="6" t="s">
        <v>26</v>
      </c>
      <c r="G12" t="s">
        <v>38</v>
      </c>
      <c r="I12">
        <v>10</v>
      </c>
      <c r="J12">
        <v>10</v>
      </c>
      <c r="N12" s="6"/>
      <c r="O12" s="6" t="s">
        <v>69</v>
      </c>
      <c r="P12" t="s">
        <v>135</v>
      </c>
      <c r="R12" t="str">
        <f t="shared" si="2"/>
        <v>['med',14,20,'Medical bay','REPAIR',0,10,10,0,0,0,0,'upgrade2','water,hydro'],</v>
      </c>
    </row>
    <row r="13" spans="1:18" x14ac:dyDescent="0.3">
      <c r="A13" s="13"/>
      <c r="B13">
        <f t="shared" si="1"/>
        <v>1</v>
      </c>
      <c r="C13" s="1" t="s">
        <v>57</v>
      </c>
      <c r="D13">
        <v>20</v>
      </c>
      <c r="E13">
        <v>20</v>
      </c>
      <c r="F13" s="6" t="s">
        <v>58</v>
      </c>
      <c r="G13" t="s">
        <v>38</v>
      </c>
      <c r="L13">
        <v>1</v>
      </c>
      <c r="N13" s="6"/>
      <c r="O13" s="6" t="s">
        <v>69</v>
      </c>
      <c r="P13" t="s">
        <v>53</v>
      </c>
      <c r="R13" t="str">
        <f t="shared" si="2"/>
        <v>['anti',20,20,'Antimatter Chamber','REPAIR',0,0,0,0,1,0,0,'upgrade2','solar'],</v>
      </c>
    </row>
    <row r="14" spans="1:18" ht="14.55" customHeight="1" x14ac:dyDescent="0.3">
      <c r="A14" s="16" t="s">
        <v>63</v>
      </c>
      <c r="B14">
        <f t="shared" si="1"/>
        <v>0</v>
      </c>
      <c r="C14" s="1" t="s">
        <v>76</v>
      </c>
      <c r="E14">
        <v>30</v>
      </c>
      <c r="F14" s="7" t="s">
        <v>101</v>
      </c>
      <c r="G14" t="s">
        <v>38</v>
      </c>
      <c r="N14" s="7" t="s">
        <v>102</v>
      </c>
      <c r="O14" s="7" t="s">
        <v>70</v>
      </c>
      <c r="P14" t="s">
        <v>75</v>
      </c>
      <c r="R14" t="str">
        <f t="shared" si="2"/>
        <v>['hazard',0,30,'Space Hazard Unit','REPAIR',0,0,0,0,0,0,'Allows you to explore space.','upgrade3','fab,med,anti'],</v>
      </c>
    </row>
    <row r="15" spans="1:18" x14ac:dyDescent="0.3">
      <c r="A15" s="16"/>
      <c r="B15">
        <f t="shared" si="1"/>
        <v>0</v>
      </c>
      <c r="C15" s="1" t="s">
        <v>71</v>
      </c>
      <c r="F15" s="8" t="s">
        <v>72</v>
      </c>
      <c r="G15" s="8" t="s">
        <v>73</v>
      </c>
      <c r="N15" s="8" t="s">
        <v>103</v>
      </c>
      <c r="O15" s="8"/>
      <c r="R15" t="str">
        <f t="shared" si="2"/>
        <v>['obs',0,0,'Observatory','WORLDMAP',0,0,0,0,0,0,'Lets you peek into the endless void of space.',0,0],</v>
      </c>
    </row>
    <row r="16" spans="1:18" ht="14.55" customHeight="1" x14ac:dyDescent="0.3">
      <c r="A16" s="16"/>
      <c r="B16">
        <f t="shared" si="1"/>
        <v>0</v>
      </c>
      <c r="C16" s="1" t="s">
        <v>46</v>
      </c>
      <c r="F16" s="8" t="s">
        <v>29</v>
      </c>
      <c r="G16" s="8" t="s">
        <v>104</v>
      </c>
      <c r="N16" s="8" t="s">
        <v>116</v>
      </c>
      <c r="O16" s="8" t="s">
        <v>118</v>
      </c>
      <c r="R16" t="str">
        <f t="shared" si="2"/>
        <v>['shuttle',0,0,'Shuttle bay','TRAVEL',0,0,0,0,0,0,'Travel to new locations!','req hazard on homebase only',0],</v>
      </c>
    </row>
    <row r="17" spans="1:18" ht="14.55" customHeight="1" x14ac:dyDescent="0.3">
      <c r="A17" s="16"/>
      <c r="B17">
        <f t="shared" si="1"/>
        <v>0</v>
      </c>
      <c r="C17" s="1" t="s">
        <v>149</v>
      </c>
      <c r="F17" s="8" t="s">
        <v>29</v>
      </c>
      <c r="G17" s="8" t="s">
        <v>104</v>
      </c>
      <c r="N17" s="8" t="s">
        <v>116</v>
      </c>
      <c r="O17" s="8" t="s">
        <v>150</v>
      </c>
      <c r="P17" t="s">
        <v>76</v>
      </c>
      <c r="R17" t="str">
        <f t="shared" si="2"/>
        <v>['shuttleHome',0,0,'Shuttle bay','TRAVEL',0,0,0,0,0,0,'Travel to new locations!','will turn to shuttle','hazard'],</v>
      </c>
    </row>
    <row r="18" spans="1:18" x14ac:dyDescent="0.3">
      <c r="A18" s="16"/>
      <c r="B18">
        <f t="shared" si="1"/>
        <v>0</v>
      </c>
      <c r="C18" s="1" t="s">
        <v>79</v>
      </c>
      <c r="F18" s="8" t="s">
        <v>39</v>
      </c>
      <c r="G18" s="8" t="s">
        <v>105</v>
      </c>
      <c r="N18" s="8" t="s">
        <v>117</v>
      </c>
      <c r="O18" s="8"/>
      <c r="R18" t="str">
        <f t="shared" si="2"/>
        <v>['upgrade',0,0,'Upgrade center','SEEUPGRADES',0,0,0,0,0,0,'See available upgrades.',0,0],</v>
      </c>
    </row>
    <row r="19" spans="1:18" x14ac:dyDescent="0.3">
      <c r="A19" s="15"/>
      <c r="B19">
        <f t="shared" si="1"/>
        <v>0</v>
      </c>
      <c r="C19" s="3" t="s">
        <v>145</v>
      </c>
      <c r="F19" s="3" t="s">
        <v>146</v>
      </c>
      <c r="G19" t="s">
        <v>77</v>
      </c>
      <c r="N19" s="3"/>
      <c r="O19" s="3"/>
      <c r="R19" t="str">
        <f t="shared" si="2"/>
        <v>['custom',0,0,'$$$$$','CLAIM',0,0,0,0,0,0,0,0,0],</v>
      </c>
    </row>
    <row r="20" spans="1:18" x14ac:dyDescent="0.3">
      <c r="A20" s="15"/>
      <c r="B20">
        <f t="shared" ref="B20" si="3">SUM(H20:L20)</f>
        <v>200</v>
      </c>
      <c r="C20" s="3" t="s">
        <v>87</v>
      </c>
      <c r="E20">
        <v>20</v>
      </c>
      <c r="F20" s="3" t="s">
        <v>92</v>
      </c>
      <c r="G20" t="s">
        <v>77</v>
      </c>
      <c r="H20">
        <v>200</v>
      </c>
      <c r="N20" s="3"/>
      <c r="O20" s="3"/>
      <c r="R20" t="str">
        <f t="shared" ref="R20" si="4">"["&amp;IF(ISNUMBER(C20),C20,IF(C20="",0,CHAR(39)&amp;C20&amp;CHAR(39)))&amp;","&amp;IF(ISNUMBER(D20),D20,IF(D20="",0,CHAR(39)&amp;D20&amp;CHAR(39)))&amp;","&amp;IF(ISNUMBER(E20),E20,IF(E20="",0,CHAR(39)&amp;E20&amp;CHAR(39)))&amp;","&amp;IF(ISNUMBER(F20),F20,IF(F20="",0,CHAR(39)&amp;F20&amp;CHAR(39)))&amp;","&amp;IF(ISNUMBER(G20),G20,IF(G20="",0,CHAR(39)&amp;G20&amp;CHAR(39)))&amp;","&amp;IF(ISNUMBER(H20),H20,IF(H20="",0,CHAR(39)&amp;H20&amp;CHAR(39)))&amp;","&amp;IF(ISNUMBER(I20),I20,IF(I20="",0,CHAR(39)&amp;I20&amp;CHAR(39)))&amp;","&amp;IF(ISNUMBER(J20),J20,IF(J20="",0,CHAR(39)&amp;J20&amp;CHAR(39)))&amp;","&amp;IF(ISNUMBER(K20),K20,IF(K20="",0,CHAR(39)&amp;K20&amp;CHAR(39)))&amp;","&amp;IF(ISNUMBER(L20),L20,IF(L20="",0,CHAR(39)&amp;L20&amp;CHAR(39)))&amp;","&amp;IF(ISNUMBER(M20),M20,IF(M20="",0,CHAR(39)&amp;M20&amp;CHAR(39)))&amp;","&amp;IF(ISNUMBER(N20),N20,IF(N20="",0,CHAR(39)&amp;N20&amp;CHAR(39)))&amp;","&amp;IF(ISNUMBER(O20),O20,IF(O20="",0,CHAR(39)&amp;O20&amp;CHAR(39)))&amp;","&amp;IF(ISNUMBER(P20),P20,IF(P20="",0,CHAR(39)&amp;P20&amp;CHAR(39)))&amp;"],"</f>
        <v>['chestenergy',0,20,'Energy cells','CLAIM',200,0,0,0,0,0,0,0,0],</v>
      </c>
    </row>
    <row r="21" spans="1:18" x14ac:dyDescent="0.3">
      <c r="A21" s="15"/>
      <c r="B21">
        <f t="shared" si="1"/>
        <v>200</v>
      </c>
      <c r="C21" s="3" t="s">
        <v>88</v>
      </c>
      <c r="E21">
        <v>20</v>
      </c>
      <c r="F21" s="3" t="s">
        <v>93</v>
      </c>
      <c r="G21" t="s">
        <v>77</v>
      </c>
      <c r="I21">
        <v>200</v>
      </c>
      <c r="N21" s="3"/>
      <c r="O21" s="3"/>
      <c r="R21" t="str">
        <f t="shared" si="2"/>
        <v>['chestwater',0,20,'Ice blocks','CLAIM',0,200,0,0,0,0,0,0,0],</v>
      </c>
    </row>
    <row r="22" spans="1:18" x14ac:dyDescent="0.3">
      <c r="A22" s="15"/>
      <c r="B22">
        <f t="shared" si="1"/>
        <v>200</v>
      </c>
      <c r="C22" s="3" t="s">
        <v>89</v>
      </c>
      <c r="E22">
        <v>20</v>
      </c>
      <c r="F22" s="3" t="s">
        <v>94</v>
      </c>
      <c r="G22" t="s">
        <v>77</v>
      </c>
      <c r="J22">
        <v>200</v>
      </c>
      <c r="N22" s="3"/>
      <c r="O22" s="3"/>
      <c r="R22" t="str">
        <f t="shared" si="2"/>
        <v>['chestfood',0,20,'Nutrient packs','CLAIM',0,0,200,0,0,0,0,0,0],</v>
      </c>
    </row>
    <row r="23" spans="1:18" x14ac:dyDescent="0.3">
      <c r="A23" s="15"/>
      <c r="B23">
        <f t="shared" si="1"/>
        <v>200</v>
      </c>
      <c r="C23" s="3" t="s">
        <v>90</v>
      </c>
      <c r="E23">
        <v>20</v>
      </c>
      <c r="F23" s="3" t="s">
        <v>91</v>
      </c>
      <c r="G23" t="s">
        <v>77</v>
      </c>
      <c r="K23">
        <v>200</v>
      </c>
      <c r="N23" s="3"/>
      <c r="O23" s="3"/>
      <c r="R23" t="str">
        <f t="shared" si="2"/>
        <v>['chestparts',0,20,'Parts box','CLAIM',0,0,0,200,0,0,0,0,0],</v>
      </c>
    </row>
    <row r="24" spans="1:18" x14ac:dyDescent="0.3">
      <c r="A24" s="15"/>
      <c r="B24">
        <f t="shared" si="1"/>
        <v>10</v>
      </c>
      <c r="C24" s="3" t="s">
        <v>119</v>
      </c>
      <c r="E24">
        <v>0</v>
      </c>
      <c r="F24" s="3" t="s">
        <v>123</v>
      </c>
      <c r="G24" t="s">
        <v>77</v>
      </c>
      <c r="H24">
        <v>10</v>
      </c>
      <c r="N24" s="3"/>
      <c r="O24" s="3"/>
      <c r="R24" t="str">
        <f t="shared" si="2"/>
        <v>['smallenergy',0,0,'Small battery','CLAIM',10,0,0,0,0,0,0,0,0],</v>
      </c>
    </row>
    <row r="25" spans="1:18" x14ac:dyDescent="0.3">
      <c r="A25" s="15"/>
      <c r="B25">
        <f t="shared" si="1"/>
        <v>10</v>
      </c>
      <c r="C25" s="3" t="s">
        <v>120</v>
      </c>
      <c r="E25">
        <v>0</v>
      </c>
      <c r="F25" s="3" t="s">
        <v>124</v>
      </c>
      <c r="G25" t="s">
        <v>77</v>
      </c>
      <c r="I25">
        <v>10</v>
      </c>
      <c r="N25" s="3"/>
      <c r="O25" s="3"/>
      <c r="R25" t="str">
        <f t="shared" si="2"/>
        <v>['smallwater',0,0,'Small water bottle','CLAIM',0,10,0,0,0,0,0,0,0],</v>
      </c>
    </row>
    <row r="26" spans="1:18" x14ac:dyDescent="0.3">
      <c r="A26" s="15"/>
      <c r="B26">
        <f t="shared" si="1"/>
        <v>10</v>
      </c>
      <c r="C26" s="3" t="s">
        <v>121</v>
      </c>
      <c r="E26">
        <v>0</v>
      </c>
      <c r="F26" s="3" t="s">
        <v>125</v>
      </c>
      <c r="G26" t="s">
        <v>77</v>
      </c>
      <c r="J26">
        <v>10</v>
      </c>
      <c r="N26" s="3"/>
      <c r="O26" s="3"/>
      <c r="R26" t="str">
        <f t="shared" si="2"/>
        <v>['smallfood',0,0,'Small candy bar','CLAIM',0,0,10,0,0,0,0,0,0],</v>
      </c>
    </row>
    <row r="27" spans="1:18" x14ac:dyDescent="0.3">
      <c r="A27" s="15"/>
      <c r="B27">
        <f t="shared" si="1"/>
        <v>10</v>
      </c>
      <c r="C27" s="3" t="s">
        <v>122</v>
      </c>
      <c r="E27">
        <v>0</v>
      </c>
      <c r="F27" s="3" t="s">
        <v>126</v>
      </c>
      <c r="G27" t="s">
        <v>77</v>
      </c>
      <c r="K27">
        <v>10</v>
      </c>
      <c r="N27" s="3"/>
      <c r="O27" s="3"/>
      <c r="R27" t="str">
        <f t="shared" si="2"/>
        <v>['smallparts',0,0,'Small circuits','CLAIM',0,0,0,10,0,0,0,0,0],</v>
      </c>
    </row>
    <row r="28" spans="1:18" x14ac:dyDescent="0.3">
      <c r="A28" s="15"/>
      <c r="B28">
        <f t="shared" si="1"/>
        <v>3</v>
      </c>
      <c r="C28" s="3" t="s">
        <v>139</v>
      </c>
      <c r="E28">
        <v>30</v>
      </c>
      <c r="F28" s="3" t="s">
        <v>78</v>
      </c>
      <c r="G28" t="s">
        <v>77</v>
      </c>
      <c r="L28">
        <v>3</v>
      </c>
      <c r="N28" s="3"/>
      <c r="O28" s="3"/>
      <c r="R28" t="str">
        <f t="shared" si="2"/>
        <v>['anti3',0,30,'Antimatter traces','CLAIM',0,0,0,0,3,0,0,0,0],</v>
      </c>
    </row>
    <row r="29" spans="1:18" x14ac:dyDescent="0.3">
      <c r="A29" s="15"/>
      <c r="B29">
        <f t="shared" si="1"/>
        <v>5</v>
      </c>
      <c r="C29" s="3" t="s">
        <v>140</v>
      </c>
      <c r="E29">
        <v>40</v>
      </c>
      <c r="F29" s="3" t="s">
        <v>136</v>
      </c>
      <c r="G29" t="s">
        <v>77</v>
      </c>
      <c r="L29">
        <v>5</v>
      </c>
      <c r="N29" s="3"/>
      <c r="O29" s="3"/>
      <c r="R29" t="str">
        <f t="shared" si="2"/>
        <v>['anti5',0,40,'Antimatter residue','CLAIM',0,0,0,0,5,0,0,0,0],</v>
      </c>
    </row>
    <row r="30" spans="1:18" x14ac:dyDescent="0.3">
      <c r="A30" s="15"/>
      <c r="B30">
        <f t="shared" si="1"/>
        <v>8</v>
      </c>
      <c r="C30" s="3" t="s">
        <v>141</v>
      </c>
      <c r="E30">
        <v>50</v>
      </c>
      <c r="F30" s="3" t="s">
        <v>138</v>
      </c>
      <c r="G30" t="s">
        <v>77</v>
      </c>
      <c r="L30">
        <v>8</v>
      </c>
      <c r="N30" s="3"/>
      <c r="O30" s="3"/>
      <c r="R30" t="str">
        <f t="shared" si="2"/>
        <v>['anti8',0,50,'Antimatter vein','CLAIM',0,0,0,0,8,0,0,0,0],</v>
      </c>
    </row>
    <row r="31" spans="1:18" x14ac:dyDescent="0.3">
      <c r="A31" s="15"/>
      <c r="B31">
        <f t="shared" si="1"/>
        <v>10</v>
      </c>
      <c r="C31" s="3" t="s">
        <v>142</v>
      </c>
      <c r="E31">
        <v>60</v>
      </c>
      <c r="F31" s="3" t="s">
        <v>137</v>
      </c>
      <c r="G31" t="s">
        <v>77</v>
      </c>
      <c r="L31">
        <v>10</v>
      </c>
      <c r="N31" s="3"/>
      <c r="O31" s="3"/>
      <c r="R31" t="str">
        <f t="shared" si="2"/>
        <v>['anti10',0,60,'Antimatter deposit','CLAIM',0,0,0,0,10,0,0,0,0],</v>
      </c>
    </row>
    <row r="32" spans="1:18" x14ac:dyDescent="0.3">
      <c r="A32" s="15"/>
      <c r="B32">
        <f t="shared" si="1"/>
        <v>0</v>
      </c>
      <c r="C32" s="3" t="s">
        <v>109</v>
      </c>
      <c r="E32">
        <v>0</v>
      </c>
      <c r="F32" s="3" t="s">
        <v>80</v>
      </c>
      <c r="G32" t="s">
        <v>95</v>
      </c>
      <c r="N32" s="3"/>
      <c r="O32" s="3"/>
      <c r="R32" t="str">
        <f t="shared" si="2"/>
        <v>['door_easy',0,0,'Damaged door','HACK',0,0,0,0,0,0,0,0,0],</v>
      </c>
    </row>
    <row r="33" spans="1:18" x14ac:dyDescent="0.3">
      <c r="A33" s="15"/>
      <c r="B33">
        <f t="shared" si="1"/>
        <v>0</v>
      </c>
      <c r="C33" s="3" t="s">
        <v>110</v>
      </c>
      <c r="E33">
        <v>20</v>
      </c>
      <c r="F33" s="3" t="s">
        <v>81</v>
      </c>
      <c r="G33" t="s">
        <v>95</v>
      </c>
      <c r="N33" s="3"/>
      <c r="O33" s="3"/>
      <c r="R33" t="str">
        <f t="shared" si="2"/>
        <v>['door_medium',0,20,'Locked door','HACK',0,0,0,0,0,0,0,0,0],</v>
      </c>
    </row>
    <row r="34" spans="1:18" x14ac:dyDescent="0.3">
      <c r="A34" s="15"/>
      <c r="B34">
        <f t="shared" si="1"/>
        <v>0</v>
      </c>
      <c r="C34" s="3" t="s">
        <v>111</v>
      </c>
      <c r="E34">
        <v>50</v>
      </c>
      <c r="F34" s="3" t="s">
        <v>113</v>
      </c>
      <c r="G34" t="s">
        <v>95</v>
      </c>
      <c r="N34" s="3"/>
      <c r="O34" s="3"/>
      <c r="R34" t="str">
        <f t="shared" si="2"/>
        <v>['door_hard',0,50,'Reinforced door','HACK',0,0,0,0,0,0,0,0,0],</v>
      </c>
    </row>
    <row r="35" spans="1:18" x14ac:dyDescent="0.3">
      <c r="A35" s="15"/>
      <c r="B35">
        <f t="shared" si="1"/>
        <v>0</v>
      </c>
      <c r="C35" s="3" t="s">
        <v>112</v>
      </c>
      <c r="E35">
        <v>70</v>
      </c>
      <c r="F35" s="3" t="s">
        <v>100</v>
      </c>
      <c r="G35" t="s">
        <v>95</v>
      </c>
      <c r="N35" s="3"/>
      <c r="O35" s="3"/>
      <c r="R35" t="str">
        <f t="shared" si="2"/>
        <v>['door_extreme',0,70,'High security door','HACK',0,0,0,0,0,0,0,0,0],</v>
      </c>
    </row>
    <row r="36" spans="1:18" x14ac:dyDescent="0.3">
      <c r="A36" s="13" t="s">
        <v>83</v>
      </c>
      <c r="B36">
        <f t="shared" si="1"/>
        <v>0</v>
      </c>
      <c r="C36" s="9" t="s">
        <v>85</v>
      </c>
      <c r="E36">
        <v>10</v>
      </c>
      <c r="F36" s="9" t="s">
        <v>86</v>
      </c>
      <c r="G36" t="s">
        <v>96</v>
      </c>
      <c r="N36" s="9"/>
      <c r="O36" s="9"/>
      <c r="R36" t="str">
        <f t="shared" si="2"/>
        <v>['plants',0,10,'Plants','RESTORE',0,0,0,0,0,0,0,0,0],</v>
      </c>
    </row>
    <row r="37" spans="1:18" x14ac:dyDescent="0.3">
      <c r="A37" s="13"/>
      <c r="B37">
        <f t="shared" si="1"/>
        <v>0</v>
      </c>
      <c r="C37" s="9" t="s">
        <v>97</v>
      </c>
      <c r="E37">
        <v>10</v>
      </c>
      <c r="F37" s="9" t="s">
        <v>98</v>
      </c>
      <c r="G37" t="s">
        <v>96</v>
      </c>
      <c r="N37" s="9"/>
      <c r="O37" s="9"/>
      <c r="R37" t="str">
        <f t="shared" si="2"/>
        <v>['fridge',0,10,'Fridge','RESTORE',0,0,0,0,0,0,0,0,0],</v>
      </c>
    </row>
    <row r="38" spans="1:18" x14ac:dyDescent="0.3">
      <c r="A38" s="13"/>
      <c r="B38">
        <f t="shared" si="1"/>
        <v>0</v>
      </c>
      <c r="C38" s="9" t="s">
        <v>127</v>
      </c>
      <c r="E38">
        <v>10</v>
      </c>
      <c r="F38" s="9" t="s">
        <v>128</v>
      </c>
      <c r="G38" t="s">
        <v>96</v>
      </c>
      <c r="N38" s="9"/>
      <c r="O38" s="9"/>
      <c r="R38" t="str">
        <f t="shared" si="2"/>
        <v>['sink',0,10,'Sink','RESTORE',0,0,0,0,0,0,0,0,0],</v>
      </c>
    </row>
    <row r="39" spans="1:18" x14ac:dyDescent="0.3">
      <c r="A39" s="13"/>
      <c r="B39">
        <f t="shared" si="1"/>
        <v>0</v>
      </c>
      <c r="C39" s="9" t="s">
        <v>129</v>
      </c>
      <c r="E39">
        <v>10</v>
      </c>
      <c r="F39" s="9" t="s">
        <v>130</v>
      </c>
      <c r="G39" t="s">
        <v>96</v>
      </c>
      <c r="N39" s="9"/>
      <c r="O39" s="9"/>
      <c r="R39" t="str">
        <f t="shared" si="2"/>
        <v>['shower',0,10,'Shower','RESTORE',0,0,0,0,0,0,0,0,0],</v>
      </c>
    </row>
    <row r="40" spans="1:18" x14ac:dyDescent="0.3">
      <c r="A40" s="13"/>
      <c r="B40">
        <f t="shared" si="1"/>
        <v>0</v>
      </c>
      <c r="C40" s="9" t="s">
        <v>131</v>
      </c>
      <c r="E40">
        <v>10</v>
      </c>
      <c r="F40" s="9" t="s">
        <v>132</v>
      </c>
      <c r="G40" t="s">
        <v>96</v>
      </c>
      <c r="N40" s="9"/>
      <c r="O40" s="9"/>
      <c r="R40" t="str">
        <f t="shared" si="2"/>
        <v>['sofa',0,10,'Sofa','RESTORE',0,0,0,0,0,0,0,0,0],</v>
      </c>
    </row>
    <row r="41" spans="1:18" x14ac:dyDescent="0.3">
      <c r="A41" s="13"/>
      <c r="B41">
        <f t="shared" si="1"/>
        <v>0</v>
      </c>
      <c r="C41" s="9" t="s">
        <v>133</v>
      </c>
      <c r="E41">
        <v>10</v>
      </c>
      <c r="F41" s="9" t="s">
        <v>134</v>
      </c>
      <c r="G41" t="s">
        <v>96</v>
      </c>
      <c r="N41" s="9"/>
      <c r="O41" s="9"/>
      <c r="R41" t="str">
        <f t="shared" si="2"/>
        <v>['table',0,10,'Table','RESTORE',0,0,0,0,0,0,0,0,0],</v>
      </c>
    </row>
    <row r="42" spans="1:18" x14ac:dyDescent="0.3">
      <c r="A42" s="13"/>
      <c r="B42">
        <f t="shared" si="1"/>
        <v>0</v>
      </c>
      <c r="C42" s="9"/>
      <c r="F42" s="9"/>
      <c r="G42" t="s">
        <v>96</v>
      </c>
      <c r="N42" s="9"/>
      <c r="O42" s="9"/>
      <c r="R42" t="str">
        <f t="shared" si="2"/>
        <v>[0,0,0,0,'RESTORE',0,0,0,0,0,0,0,0,0],</v>
      </c>
    </row>
    <row r="43" spans="1:18" x14ac:dyDescent="0.3">
      <c r="A43" s="13"/>
      <c r="B43">
        <f t="shared" si="1"/>
        <v>0</v>
      </c>
      <c r="C43" s="9"/>
      <c r="F43" s="9"/>
      <c r="G43" t="s">
        <v>96</v>
      </c>
      <c r="N43" s="9"/>
      <c r="O43" s="9"/>
      <c r="R43" t="str">
        <f t="shared" si="2"/>
        <v>[0,0,0,0,'RESTORE',0,0,0,0,0,0,0,0,0],</v>
      </c>
    </row>
  </sheetData>
  <mergeCells count="5">
    <mergeCell ref="A36:A43"/>
    <mergeCell ref="H1:K1"/>
    <mergeCell ref="A4:A13"/>
    <mergeCell ref="A19:A35"/>
    <mergeCell ref="A14:A18"/>
  </mergeCells>
  <conditionalFormatting sqref="C1:C1048576">
    <cfRule type="duplicateValues" dxfId="11" priority="1"/>
  </conditionalFormatting>
  <conditionalFormatting sqref="C36:C1048576 C1:C18">
    <cfRule type="duplicateValues" dxfId="10" priority="16"/>
  </conditionalFormatting>
  <conditionalFormatting sqref="E4:E6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6:F43">
    <cfRule type="duplicateValues" dxfId="9" priority="3"/>
  </conditionalFormatting>
  <conditionalFormatting sqref="N2">
    <cfRule type="duplicateValues" dxfId="8" priority="7"/>
  </conditionalFormatting>
  <conditionalFormatting sqref="N3">
    <cfRule type="duplicateValues" dxfId="7" priority="5"/>
  </conditionalFormatting>
  <conditionalFormatting sqref="N36:O43">
    <cfRule type="duplicateValues" dxfId="6" priority="4"/>
  </conditionalFormatting>
  <conditionalFormatting sqref="O3:P3">
    <cfRule type="duplicateValues" dxfId="5" priority="9"/>
  </conditionalFormatting>
  <conditionalFormatting sqref="O2:Q2">
    <cfRule type="duplicateValues" dxfId="4" priority="10"/>
  </conditionalFormatting>
  <conditionalFormatting sqref="R2:S2 D2:M2">
    <cfRule type="duplicateValues" dxfId="3" priority="1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>
      <selection activeCell="A2" sqref="A2"/>
    </sheetView>
  </sheetViews>
  <sheetFormatPr defaultColWidth="97.44140625" defaultRowHeight="57" customHeight="1" x14ac:dyDescent="0.3"/>
  <cols>
    <col min="1" max="16384" width="97.44140625" style="10"/>
  </cols>
  <sheetData>
    <row r="1" spans="1:1" ht="57" customHeight="1" x14ac:dyDescent="0.3">
      <c r="A1" s="11" t="s">
        <v>106</v>
      </c>
    </row>
    <row r="2" spans="1:1" ht="57" customHeight="1" x14ac:dyDescent="0.3">
      <c r="A2" s="10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Z31"/>
  <sheetViews>
    <sheetView workbookViewId="0">
      <selection activeCell="N8" sqref="N8"/>
    </sheetView>
  </sheetViews>
  <sheetFormatPr defaultRowHeight="14.4" x14ac:dyDescent="0.3"/>
  <cols>
    <col min="4" max="4" width="13" customWidth="1"/>
    <col min="5" max="6" width="7.33203125" customWidth="1"/>
    <col min="7" max="7" width="14.33203125" customWidth="1"/>
    <col min="8" max="8" width="11.5546875" customWidth="1"/>
  </cols>
  <sheetData>
    <row r="2" spans="2:26" x14ac:dyDescent="0.3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14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">
      <c r="B3" t="s">
        <v>9</v>
      </c>
      <c r="C3" t="s">
        <v>0</v>
      </c>
      <c r="D3" t="s">
        <v>15</v>
      </c>
      <c r="E3" t="s">
        <v>8</v>
      </c>
      <c r="F3" t="s">
        <v>6</v>
      </c>
      <c r="G3" t="s">
        <v>16</v>
      </c>
      <c r="H3" t="s">
        <v>17</v>
      </c>
      <c r="I3" t="s">
        <v>2</v>
      </c>
      <c r="J3" t="s">
        <v>4</v>
      </c>
      <c r="K3" t="s">
        <v>3</v>
      </c>
      <c r="L3" t="s">
        <v>7</v>
      </c>
      <c r="M3" t="s">
        <v>13</v>
      </c>
      <c r="N3" t="s">
        <v>10</v>
      </c>
      <c r="O3" t="s">
        <v>11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18</v>
      </c>
      <c r="H4" t="s">
        <v>38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">
      <c r="B5">
        <f t="shared" ref="B5:B31" si="1">SUM(E5:AA5)</f>
        <v>55</v>
      </c>
      <c r="C5" t="str">
        <f t="shared" ref="C5:C31" si="2">LEFT(D5,1)</f>
        <v>s</v>
      </c>
      <c r="D5" s="1" t="s">
        <v>53</v>
      </c>
      <c r="E5">
        <v>20</v>
      </c>
      <c r="F5">
        <v>10</v>
      </c>
      <c r="G5" t="s">
        <v>22</v>
      </c>
      <c r="H5" t="s">
        <v>38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">
      <c r="B6">
        <f t="shared" si="1"/>
        <v>57</v>
      </c>
      <c r="C6" t="str">
        <f t="shared" si="2"/>
        <v>h</v>
      </c>
      <c r="D6" s="1" t="s">
        <v>41</v>
      </c>
      <c r="E6">
        <v>12</v>
      </c>
      <c r="F6">
        <v>20</v>
      </c>
      <c r="G6" t="s">
        <v>19</v>
      </c>
      <c r="H6" t="s">
        <v>38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23</v>
      </c>
      <c r="H7" t="s">
        <v>38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">
      <c r="B8">
        <f t="shared" si="1"/>
        <v>48</v>
      </c>
      <c r="C8" t="str">
        <f t="shared" si="2"/>
        <v>c</v>
      </c>
      <c r="D8" s="1" t="s">
        <v>42</v>
      </c>
      <c r="E8">
        <v>8</v>
      </c>
      <c r="F8">
        <v>20</v>
      </c>
      <c r="G8" t="s">
        <v>24</v>
      </c>
      <c r="H8" t="s">
        <v>38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">
      <c r="B9">
        <f t="shared" si="1"/>
        <v>92</v>
      </c>
      <c r="C9" t="str">
        <f t="shared" si="2"/>
        <v>c</v>
      </c>
      <c r="D9" s="1" t="s">
        <v>5</v>
      </c>
      <c r="E9">
        <v>12</v>
      </c>
      <c r="F9">
        <v>50</v>
      </c>
      <c r="G9" t="s">
        <v>25</v>
      </c>
      <c r="H9" t="s">
        <v>38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">
      <c r="B10">
        <f t="shared" si="1"/>
        <v>95</v>
      </c>
      <c r="C10" t="str">
        <f t="shared" si="2"/>
        <v>f</v>
      </c>
      <c r="D10" s="1" t="s">
        <v>55</v>
      </c>
      <c r="E10">
        <v>10</v>
      </c>
      <c r="F10">
        <v>60</v>
      </c>
      <c r="G10" t="s">
        <v>20</v>
      </c>
      <c r="H10" t="s">
        <v>38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">
      <c r="B11">
        <f t="shared" si="1"/>
        <v>50</v>
      </c>
      <c r="C11" t="str">
        <f t="shared" si="2"/>
        <v>m</v>
      </c>
      <c r="D11" s="1" t="s">
        <v>43</v>
      </c>
      <c r="E11">
        <v>10</v>
      </c>
      <c r="F11">
        <v>30</v>
      </c>
      <c r="G11" t="s">
        <v>26</v>
      </c>
      <c r="H11" t="s">
        <v>38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">
      <c r="B12">
        <f t="shared" si="1"/>
        <v>55</v>
      </c>
      <c r="C12" t="str">
        <f t="shared" si="2"/>
        <v>l</v>
      </c>
      <c r="D12" s="1" t="s">
        <v>44</v>
      </c>
      <c r="E12">
        <v>20</v>
      </c>
      <c r="F12">
        <v>10</v>
      </c>
      <c r="G12" t="s">
        <v>27</v>
      </c>
      <c r="H12" t="s">
        <v>38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">
      <c r="B13">
        <f t="shared" si="1"/>
        <v>87</v>
      </c>
      <c r="C13" t="str">
        <f t="shared" si="2"/>
        <v>m</v>
      </c>
      <c r="D13" s="1" t="s">
        <v>45</v>
      </c>
      <c r="E13">
        <v>12</v>
      </c>
      <c r="F13">
        <v>50</v>
      </c>
      <c r="G13" t="s">
        <v>28</v>
      </c>
      <c r="H13" t="s">
        <v>38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">
      <c r="C14" t="str">
        <f t="shared" si="2"/>
        <v>s</v>
      </c>
      <c r="D14" s="1" t="s">
        <v>46</v>
      </c>
      <c r="G14" t="s">
        <v>29</v>
      </c>
      <c r="H14" t="s">
        <v>37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">
      <c r="C15" t="str">
        <f t="shared" si="2"/>
        <v>a</v>
      </c>
      <c r="D15" s="1" t="s">
        <v>54</v>
      </c>
      <c r="G15" t="s">
        <v>39</v>
      </c>
      <c r="H15" t="s">
        <v>37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">
      <c r="C16" t="str">
        <f t="shared" si="2"/>
        <v>d</v>
      </c>
      <c r="D16" s="1" t="s">
        <v>47</v>
      </c>
      <c r="G16" t="s">
        <v>40</v>
      </c>
      <c r="H16" t="s">
        <v>37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">
      <c r="B17">
        <f t="shared" si="1"/>
        <v>100</v>
      </c>
      <c r="C17" t="str">
        <f t="shared" si="2"/>
        <v>m</v>
      </c>
      <c r="D17" s="1" t="s">
        <v>48</v>
      </c>
      <c r="E17">
        <v>15</v>
      </c>
      <c r="F17">
        <v>60</v>
      </c>
      <c r="G17" t="s">
        <v>30</v>
      </c>
      <c r="H17" t="s">
        <v>36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">
      <c r="B18">
        <f t="shared" si="1"/>
        <v>75</v>
      </c>
      <c r="C18" t="str">
        <f t="shared" si="2"/>
        <v>s</v>
      </c>
      <c r="D18" s="1" t="s">
        <v>12</v>
      </c>
      <c r="E18">
        <v>10</v>
      </c>
      <c r="F18">
        <v>40</v>
      </c>
      <c r="G18" t="s">
        <v>21</v>
      </c>
      <c r="H18" t="s">
        <v>36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">
      <c r="B19">
        <f t="shared" si="1"/>
        <v>127</v>
      </c>
      <c r="C19" t="str">
        <f t="shared" si="2"/>
        <v>d</v>
      </c>
      <c r="D19" s="1" t="s">
        <v>49</v>
      </c>
      <c r="E19">
        <v>12</v>
      </c>
      <c r="F19">
        <v>70</v>
      </c>
      <c r="G19" t="s">
        <v>31</v>
      </c>
      <c r="H19" t="s">
        <v>36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">
      <c r="B20">
        <f t="shared" si="1"/>
        <v>125</v>
      </c>
      <c r="C20" t="str">
        <f t="shared" si="2"/>
        <v>s</v>
      </c>
      <c r="D20" s="1" t="s">
        <v>50</v>
      </c>
      <c r="E20">
        <v>15</v>
      </c>
      <c r="F20">
        <v>80</v>
      </c>
      <c r="G20" t="s">
        <v>32</v>
      </c>
      <c r="H20" t="s">
        <v>36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">
      <c r="B21">
        <f t="shared" si="1"/>
        <v>140</v>
      </c>
      <c r="C21" t="str">
        <f t="shared" si="2"/>
        <v>f</v>
      </c>
      <c r="D21" s="1" t="s">
        <v>51</v>
      </c>
      <c r="E21">
        <v>10</v>
      </c>
      <c r="F21">
        <v>90</v>
      </c>
      <c r="G21" t="s">
        <v>33</v>
      </c>
      <c r="H21" t="s">
        <v>36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">
      <c r="B22">
        <f t="shared" si="1"/>
        <v>170</v>
      </c>
      <c r="C22" t="str">
        <f t="shared" si="2"/>
        <v>a</v>
      </c>
      <c r="D22" s="1" t="s">
        <v>11</v>
      </c>
      <c r="E22">
        <v>20</v>
      </c>
      <c r="F22">
        <v>100</v>
      </c>
      <c r="G22" t="s">
        <v>34</v>
      </c>
      <c r="H22" t="s">
        <v>36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">
      <c r="B23">
        <f t="shared" si="1"/>
        <v>127</v>
      </c>
      <c r="C23" t="str">
        <f t="shared" si="2"/>
        <v>r</v>
      </c>
      <c r="D23" s="1" t="s">
        <v>52</v>
      </c>
      <c r="E23">
        <v>12</v>
      </c>
      <c r="F23">
        <v>85</v>
      </c>
      <c r="G23" t="s">
        <v>35</v>
      </c>
      <c r="H23" t="s">
        <v>36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">
      <c r="B24">
        <f t="shared" si="1"/>
        <v>0</v>
      </c>
      <c r="C24" t="str">
        <f t="shared" si="2"/>
        <v/>
      </c>
    </row>
    <row r="25" spans="2:19" x14ac:dyDescent="0.3">
      <c r="B25">
        <f t="shared" si="1"/>
        <v>0</v>
      </c>
      <c r="C25" t="str">
        <f t="shared" si="2"/>
        <v/>
      </c>
    </row>
    <row r="26" spans="2:19" x14ac:dyDescent="0.3">
      <c r="B26">
        <f t="shared" si="1"/>
        <v>0</v>
      </c>
      <c r="C26" t="str">
        <f t="shared" si="2"/>
        <v/>
      </c>
    </row>
    <row r="27" spans="2:19" x14ac:dyDescent="0.3">
      <c r="B27">
        <f t="shared" si="1"/>
        <v>0</v>
      </c>
      <c r="C27" t="str">
        <f t="shared" si="2"/>
        <v/>
      </c>
    </row>
    <row r="28" spans="2:19" x14ac:dyDescent="0.3">
      <c r="B28">
        <f t="shared" si="1"/>
        <v>0</v>
      </c>
      <c r="C28" t="str">
        <f t="shared" si="2"/>
        <v/>
      </c>
    </row>
    <row r="29" spans="2:19" x14ac:dyDescent="0.3">
      <c r="B29">
        <f t="shared" si="1"/>
        <v>0</v>
      </c>
      <c r="C29" t="str">
        <f t="shared" si="2"/>
        <v/>
      </c>
    </row>
    <row r="30" spans="2:19" x14ac:dyDescent="0.3">
      <c r="B30">
        <f t="shared" si="1"/>
        <v>0</v>
      </c>
      <c r="C30" t="str">
        <f t="shared" si="2"/>
        <v/>
      </c>
    </row>
    <row r="31" spans="2:19" x14ac:dyDescent="0.3">
      <c r="B31">
        <f t="shared" si="1"/>
        <v>0</v>
      </c>
      <c r="C31" t="str">
        <f t="shared" si="2"/>
        <v/>
      </c>
    </row>
  </sheetData>
  <conditionalFormatting sqref="C4:C31">
    <cfRule type="duplicateValues" dxfId="2" priority="4"/>
  </conditionalFormatting>
  <conditionalFormatting sqref="D1:D1048576">
    <cfRule type="duplicateValues" dxfId="1" priority="1"/>
  </conditionalFormatting>
  <conditionalFormatting sqref="E2:AB2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sheetwithani</vt:lpstr>
      <vt:lpstr>conventions</vt:lpstr>
      <vt:lpstr>bad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2026-05-13T13:27:35Z</dcterms:modified>
</cp:coreProperties>
</file>