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bookViews>
    <workbookView xWindow="-110" yWindow="-110" windowWidth="23260" windowHeight="12580"/>
  </bookViews>
  <sheets>
    <sheet name="sheetwithani" sheetId="3" r:id="rId1"/>
    <sheet name="conventions" sheetId="4" r:id="rId2"/>
    <sheet name="bad" sheetId="1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30" i="3"/>
  <c r="B31" i="3"/>
  <c r="B32" i="3"/>
  <c r="B33" i="3"/>
  <c r="T29" i="3"/>
  <c r="T30" i="3"/>
  <c r="T31" i="3"/>
  <c r="T32" i="3"/>
  <c r="T33" i="3"/>
  <c r="T4" i="3" l="1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34" i="3"/>
  <c r="T35" i="3"/>
  <c r="T36" i="3"/>
  <c r="T37" i="3"/>
  <c r="T38" i="3"/>
  <c r="T39" i="3"/>
  <c r="T40" i="3"/>
  <c r="T41" i="3"/>
  <c r="T42" i="3"/>
  <c r="T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T43" i="3"/>
  <c r="T44" i="3"/>
  <c r="T45" i="3"/>
  <c r="T46" i="3"/>
  <c r="T47" i="3"/>
  <c r="T48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<sst xmlns="http://schemas.openxmlformats.org/spreadsheetml/2006/main" count="252" uniqueCount="139">
  <si>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</si>
  <si>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</si>
  <si>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</si>
  <si>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</si>
  <si>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</si>
  <si>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</si>
  <si>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</si>
  <si>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</si>
  <si>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</si>
  <si>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</si>
  <si>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</si>
  <si>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</si>
  <si>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</si>
  <si>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</si>
  <si>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</si>
  <si>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</si>
  <si>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</si>
  <si>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</si>
  <si>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</si>
  <si>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</si>
  <si>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</si>
  <si>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</si>
  <si>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</si>
  <si>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</si>
  <si>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</si>
  <si>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</si>
  <si>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</si>
  <si>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</si>
  <si>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</si>
  <si>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</si>
  <si>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</si>
  <si>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</si>
  <si>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</si>
  <si>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</si>
  <si>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</si>
  <si>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</si>
  <si>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</si>
  <si>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</si>
  <si>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</si>
  <si>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</si>
  <si>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</si>
  <si>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</si>
  <si>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</si>
  <si>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</si>
  <si>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</si>
  <si>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</si>
  <si>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</si>
  <si>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</si>
  <si>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</si>
  <si>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</si>
  <si>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</si>
  <si>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</si>
  <si>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</si>
  <si>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</si>
  <si>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</si>
  <si>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</si>
  <si>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</si>
  <si>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</si>
  <si>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</si>
  <si>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</si>
  <si>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</si>
  <si>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</si>
  <si>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</si>
  <si>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</si>
  <si>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</si>
  <si>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</si>
  <si>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</si>
  <si>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</si>
  <si>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</si>
  <si>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</si>
  <si>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</si>
  <si>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</si>
  <si>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</si>
  <si>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</si>
  <si>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</si>
  <si>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</si>
  <si>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</si>
  <si>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</si>
  <si>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</si>
  <si>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water,hydro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</si>
  <si>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</si>
  <si>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</si>
  <si>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</si>
  <si>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</si>
  <si>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</si>
  <si>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</si>
  <si>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</si>
  <si>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</si>
  <si>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</si>
  <si>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</si>
  <si>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</si>
  <si>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</si>
  <si>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</si>
  <si>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</si>
  <si>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</si>
  <si>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</si>
  <si>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</si>
  <si>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</si>
  <si>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</si>
  <si>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</si>
  <si>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</si>
  <si>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</si>
  <si>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</si>
  <si>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</si>
  <si>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</si>
  <si>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</si>
  <si>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</si>
  <si>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</si>
  <si>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</si>
  <si>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</si>
  <si>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</si>
  <si>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</si>
  <si>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</si>
  <si>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</si>
  <si>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</si>
  <si>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</si>
  <si>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</si>
  <si>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</si>
  <si>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</si>
  <si>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</si>
  <si>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</si>
  <si>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</si>
  <si>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</si>
  <si>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</si>
  <si>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</si>
  <si>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</si>
  <si>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</si>
  <si>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</si>
  <si>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</si>
  <si>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</si>
  <si>
    <t>req hazard on homebase only</t>
  </si>
  <si>
    <t>smallenergy</t>
  </si>
  <si>
    <t>smallwater</t>
  </si>
  <si>
    <t>smallfood</t>
  </si>
  <si>
    <t>smallparts</t>
  </si>
  <si>
    <t>Small battery</t>
  </si>
  <si>
    <t>Small water bottle</t>
  </si>
  <si>
    <t>Small candy bar</t>
  </si>
  <si>
    <t>Small circuits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</si>
</sst>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8"/>
  <sheetViews>
    <sheetView tabSelected="1" zoomScaleNormal="100" workbookViewId="0">
      <pane xSplit="1" ySplit="3" topLeftCell="B22" activePane="bottomRight" state="frozen"/>
      <selection pane="topRight" activeCell="B1" sqref="B1"/>
      <selection pane="bottomLeft" activeCell="A4" sqref="A4"/>
      <selection pane="bottomRight" activeCell="F32" sqref="F32"/>
    </sheetView>
  </sheetViews>
  <sheetFormatPr defaultRowHeight="14.5" x14ac:dyDescent="0.35"/>
  <cols>
    <col min="1" max="1" width="1.90625" customWidth="1"/>
    <col min="2" max="2" width="4.08984375" customWidth="1"/>
    <col min="3" max="3" width="13" customWidth="1"/>
    <col min="4" max="4" width="5.1796875" customWidth="1"/>
    <col min="5" max="5" width="7" customWidth="1"/>
    <col min="6" max="6" width="20.36328125" customWidth="1"/>
    <col min="7" max="7" width="12.81640625" customWidth="1"/>
    <col min="8" max="15" width="7.08984375" customWidth="1"/>
    <col min="16" max="16" width="30.81640625" customWidth="1"/>
    <col min="17" max="17" width="15.1796875" customWidth="1"/>
    <col min="18" max="18" width="12.1796875" customWidth="1"/>
    <col min="19" max="19" width="15.1796875" customWidth="1"/>
    <col min="20" max="20" width="15.36328125" customWidth="1"/>
  </cols>
  <sheetData>
    <row r="1" spans="1:20" x14ac:dyDescent="0.35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94</v>
      </c>
      <c r="Q1" t="s">
        <v>69</v>
      </c>
      <c r="R1" t="s">
        <v>78</v>
      </c>
    </row>
    <row r="2" spans="1:20" x14ac:dyDescent="0.35">
      <c r="C2" t="s">
        <v>119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5">
      <c r="B3" t="s">
        <v>9</v>
      </c>
      <c r="C3" t="s">
        <v>15</v>
      </c>
      <c r="D3" t="s">
        <v>8</v>
      </c>
      <c r="E3" t="s">
        <v>111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96</v>
      </c>
      <c r="Q3" s="3" t="s">
        <v>126</v>
      </c>
      <c r="R3" s="3" t="s">
        <v>127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,"&amp;IF(ISNUMBER(Q3),Q3,IF(Q3="",0,CHAR(39)&amp;Q3&amp;CHAR(39)))&amp;","&amp;IF(ISNUMBER(R3),R3,IF(R3="",0,CHAR(39)&amp;R3&amp;CHAR(39)))&amp;"],"</f>
        <v>['terminal','delay','bucket','pretty','action','energy','water','food','parts','antimatter','coolant','minerals','salvage','description','note','prereq'],</v>
      </c>
    </row>
    <row r="4" spans="1:20" x14ac:dyDescent="0.35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42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,"&amp;IF(ISNUMBER(Q4),Q4,IF(Q4="",0,CHAR(39)&amp;Q4&amp;CHAR(39)))&amp;","&amp;IF(ISNUMBER(R4),R4,IF(R4="",0,CHAR(39)&amp;R4&amp;CHAR(39)))&amp;"],"</f>
        <v>['reactor',15,0,'Reactor','REPAIR',50,0,0,0,0,0,0,0,0,'base',0],</v>
      </c>
    </row>
    <row r="5" spans="1:20" x14ac:dyDescent="0.35">
      <c r="A5" s="12"/>
      <c r="B5">
        <f t="shared" ref="B5:B48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Array','REPAIR',30,0,0,0,0,0,0,0,0,'upgrade1','reactor'],</v>
      </c>
    </row>
    <row r="6" spans="1:20" x14ac:dyDescent="0.35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Support','REPAIR',0,20,20,0,0,0,0,0,0,'base',0],</v>
      </c>
    </row>
    <row r="7" spans="1:20" x14ac:dyDescent="0.35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Recycler','REPAIR',0,30,0,0,0,0,0,0,0,'upgrade1','life'],</v>
      </c>
    </row>
    <row r="8" spans="1:20" x14ac:dyDescent="0.35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['hydro',13,10,'Hydroponics','REPAIR',0,0,30,0,0,0,0,0,0,'upgrade1','life'],</v>
      </c>
    </row>
    <row r="9" spans="1:20" x14ac:dyDescent="0.35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bay','REPAIR',0,0,0,20,0,0,0,0,0,'base',0],</v>
      </c>
    </row>
    <row r="10" spans="1:20" x14ac:dyDescent="0.35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array','REPAIR',0,0,0,50,0,0,0,0,0,'upgrade1','cargo'],</v>
      </c>
    </row>
    <row r="11" spans="1:20" x14ac:dyDescent="0.35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5</v>
      </c>
      <c r="T11" t="str">
        <f t="shared" si="1"/>
        <v>['fab',13,20,'Fabricator','REPAIR',0,0,0,10,0,0,0,0,0,'upgrade2','comms'],</v>
      </c>
    </row>
    <row r="12" spans="1:20" x14ac:dyDescent="0.35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79</v>
      </c>
      <c r="T12" t="str">
        <f t="shared" si="1"/>
        <v>['med',14,20,'Medical bay','REPAIR',0,10,10,0,0,0,0,0,0,'upgrade2','water,hydro'],</v>
      </c>
    </row>
    <row r="13" spans="1:20" x14ac:dyDescent="0.35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53</v>
      </c>
      <c r="T13" t="str">
        <f t="shared" si="1"/>
        <v>['anti',20,20,'Antimatter Chamber','REPAIR',10,0,0,0,5,0,0,0,0,'upgrade2','solar'],</v>
      </c>
    </row>
    <row r="14" spans="1:20" ht="14.5" customHeight="1" x14ac:dyDescent="0.35">
      <c r="A14" s="15" t="s">
        <v>66</v>
      </c>
      <c r="B14">
        <f t="shared" si="2"/>
        <v>0</v>
      </c>
      <c r="C14" s="1" t="s">
        <v>81</v>
      </c>
      <c r="E14">
        <v>30</v>
      </c>
      <c r="F14" s="7" t="s">
        <v>113</v>
      </c>
      <c r="G14" t="s">
        <v>38</v>
      </c>
      <c r="P14" s="7" t="s">
        <v>114</v>
      </c>
      <c r="Q14" s="7" t="s">
        <v>74</v>
      </c>
      <c r="R14" t="s">
        <v>80</v>
      </c>
      <c r="T14" t="str">
        <f t="shared" si="1"/>
        <v>['hazard',0,30,'Space Hazard Unit','REPAIR',0,0,0,0,0,0,0,0,'Allows you to explore space.','upgrade3','fab,med,anti'],</v>
      </c>
    </row>
    <row r="15" spans="1:20" x14ac:dyDescent="0.35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115</v>
      </c>
      <c r="Q15" s="8"/>
      <c r="T15" t="str">
        <f t="shared" si="1"/>
        <v>['obs',0,0,'Observatory','WORLDMAP',0,0,0,0,0,0,0,0,'Lets you peek into the endless void of space.',0,0],</v>
      </c>
    </row>
    <row r="16" spans="1:20" ht="14.5" customHeight="1" x14ac:dyDescent="0.35">
      <c r="A16" s="15"/>
      <c r="B16">
        <f t="shared" si="2"/>
        <v>0</v>
      </c>
      <c r="C16" s="1" t="s">
        <v>46</v>
      </c>
      <c r="F16" s="8" t="s">
        <v>29</v>
      </c>
      <c r="G16" s="8" t="s">
        <v>116</v>
      </c>
      <c r="P16" s="8" t="s">
        <v>128</v>
      </c>
      <c r="Q16" s="8" t="s">
        <v>130</v>
      </c>
      <c r="T16" t="str">
        <f t="shared" si="1"/>
        <v>['shuttle',0,0,'Shuttle bay','TRAVEL',0,0,0,0,0,0,0,0,'Travel to new locations!','req hazard on homebase only',0],</v>
      </c>
    </row>
    <row r="17" spans="1:20" x14ac:dyDescent="0.35">
      <c r="A17" s="15"/>
      <c r="B17">
        <f t="shared" si="2"/>
        <v>0</v>
      </c>
      <c r="C17" s="1" t="s">
        <v>91</v>
      </c>
      <c r="F17" s="8" t="s">
        <v>39</v>
      </c>
      <c r="G17" s="8" t="s">
        <v>117</v>
      </c>
      <c r="P17" s="8" t="s">
        <v>129</v>
      </c>
      <c r="Q17" s="8"/>
      <c r="T17" t="str">
        <f t="shared" si="1"/>
        <v>['upgrade',0,0,'Upgrade center','SEEUPGRADES',0,0,0,0,0,0,0,0,'See available upgrades.',0,0],</v>
      </c>
    </row>
    <row r="18" spans="1:20" x14ac:dyDescent="0.35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station','CAPTURE',0,0,0,0,0,0,15,0,0,0,0],</v>
      </c>
    </row>
    <row r="19" spans="1:20" x14ac:dyDescent="0.35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['scrapyard',5,30,'Scrapyard','CAPTURE',0,0,0,0,0,0,0,15,0,0,0],</v>
      </c>
    </row>
    <row r="20" spans="1:20" x14ac:dyDescent="0.35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vault','CAPTURE',0,0,0,0,0,5,5,5,0,0,0],</v>
      </c>
    </row>
    <row r="21" spans="1:20" x14ac:dyDescent="0.35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depot','CAPTURE',0,0,0,0,0,0,0,0,0,0,0],</v>
      </c>
    </row>
    <row r="22" spans="1:20" x14ac:dyDescent="0.35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core','CAPTURE',0,0,0,0,15,0,0,0,0,0,0],</v>
      </c>
    </row>
    <row r="23" spans="1:20" x14ac:dyDescent="0.35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plant','CAPTURE',0,0,0,0,0,0,10,5,0,0,0],</v>
      </c>
    </row>
    <row r="24" spans="1:20" x14ac:dyDescent="0.35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lab','CAPTURE',0,0,0,0,5,5,0,5,0,0,0],</v>
      </c>
    </row>
    <row r="25" spans="1:20" x14ac:dyDescent="0.35">
      <c r="A25" s="14"/>
      <c r="B25">
        <f t="shared" si="2"/>
        <v>120</v>
      </c>
      <c r="C25" s="3" t="s">
        <v>99</v>
      </c>
      <c r="E25">
        <v>20</v>
      </c>
      <c r="F25" s="3" t="s">
        <v>104</v>
      </c>
      <c r="G25" t="s">
        <v>86</v>
      </c>
      <c r="H25">
        <v>120</v>
      </c>
      <c r="P25" s="3"/>
      <c r="Q25" s="3"/>
      <c r="T25" t="str">
        <f t="shared" si="1"/>
        <v>['chestenergy',0,20,'Energy cells','CLAIM',120,0,0,0,0,0,0,0,0,0,0],</v>
      </c>
    </row>
    <row r="26" spans="1:20" x14ac:dyDescent="0.35">
      <c r="A26" s="14"/>
      <c r="B26">
        <f t="shared" si="2"/>
        <v>120</v>
      </c>
      <c r="C26" s="3" t="s">
        <v>100</v>
      </c>
      <c r="E26">
        <v>20</v>
      </c>
      <c r="F26" s="3" t="s">
        <v>105</v>
      </c>
      <c r="G26" t="s">
        <v>86</v>
      </c>
      <c r="I26">
        <v>120</v>
      </c>
      <c r="P26" s="3"/>
      <c r="Q26" s="3"/>
      <c r="T26" t="str">
        <f t="shared" si="1"/>
        <v>['chestwater',0,20,'Ice blocks','CLAIM',0,120,0,0,0,0,0,0,0,0,0],</v>
      </c>
    </row>
    <row r="27" spans="1:20" x14ac:dyDescent="0.35">
      <c r="A27" s="14"/>
      <c r="B27">
        <f t="shared" si="2"/>
        <v>120</v>
      </c>
      <c r="C27" s="3" t="s">
        <v>101</v>
      </c>
      <c r="E27">
        <v>20</v>
      </c>
      <c r="F27" s="3" t="s">
        <v>106</v>
      </c>
      <c r="G27" t="s">
        <v>86</v>
      </c>
      <c r="J27">
        <v>120</v>
      </c>
      <c r="P27" s="3"/>
      <c r="Q27" s="3"/>
      <c r="T27" t="str">
        <f t="shared" si="1"/>
        <v>['chestfood',0,20,'Nutrient packs','CLAIM',0,0,120,0,0,0,0,0,0,0,0],</v>
      </c>
    </row>
    <row r="28" spans="1:20" x14ac:dyDescent="0.35">
      <c r="A28" s="14"/>
      <c r="B28">
        <f t="shared" si="2"/>
        <v>120</v>
      </c>
      <c r="C28" s="3" t="s">
        <v>102</v>
      </c>
      <c r="E28">
        <v>20</v>
      </c>
      <c r="F28" s="3" t="s">
        <v>103</v>
      </c>
      <c r="G28" t="s">
        <v>86</v>
      </c>
      <c r="K28">
        <v>120</v>
      </c>
      <c r="P28" s="3"/>
      <c r="Q28" s="3"/>
      <c r="T28" t="str">
        <f t="shared" si="1"/>
        <v>['chestparts',0,20,'Parts box','CLAIM',0,0,0,120,0,0,0,0,0,0,0],</v>
      </c>
    </row>
    <row r="29" spans="1:20" x14ac:dyDescent="0.35">
      <c r="A29" s="14"/>
      <c r="B29">
        <f t="shared" si="2"/>
        <v>10</v>
      </c>
      <c r="C29" s="3" t="s">
        <v>131</v>
      </c>
      <c r="E29">
        <v>0</v>
      </c>
      <c r="F29" s="3" t="s">
        <v>135</v>
      </c>
      <c r="G29" t="s">
        <v>86</v>
      </c>
      <c r="H29">
        <v>10</v>
      </c>
      <c r="P29" s="3"/>
      <c r="Q29" s="3"/>
      <c r="T29" t="str">
        <f t="shared" si="1"/>
        <v>['smallenergy',0,0,'Small battery','CLAIM',10,0,0,0,0,0,0,0,0,0,0],</v>
      </c>
    </row>
    <row r="30" spans="1:20" x14ac:dyDescent="0.35">
      <c r="A30" s="14"/>
      <c r="B30">
        <f t="shared" si="2"/>
        <v>10</v>
      </c>
      <c r="C30" s="3" t="s">
        <v>132</v>
      </c>
      <c r="E30">
        <v>0</v>
      </c>
      <c r="F30" s="3" t="s">
        <v>136</v>
      </c>
      <c r="G30" t="s">
        <v>86</v>
      </c>
      <c r="I30">
        <v>10</v>
      </c>
      <c r="P30" s="3"/>
      <c r="Q30" s="3"/>
      <c r="T30" t="str">
        <f t="shared" si="1"/>
        <v>['smallwater',0,0,'Small water bottle','CLAIM',0,10,0,0,0,0,0,0,0,0,0],</v>
      </c>
    </row>
    <row r="31" spans="1:20" x14ac:dyDescent="0.35">
      <c r="A31" s="14"/>
      <c r="B31">
        <f t="shared" si="2"/>
        <v>10</v>
      </c>
      <c r="C31" s="3" t="s">
        <v>133</v>
      </c>
      <c r="E31">
        <v>0</v>
      </c>
      <c r="F31" s="3" t="s">
        <v>137</v>
      </c>
      <c r="G31" t="s">
        <v>86</v>
      </c>
      <c r="J31">
        <v>10</v>
      </c>
      <c r="P31" s="3"/>
      <c r="Q31" s="3"/>
      <c r="T31" t="str">
        <f t="shared" si="1"/>
        <v>['smallfood',0,0,'Small candy bar','CLAIM',0,0,10,0,0,0,0,0,0,0,0],</v>
      </c>
    </row>
    <row r="32" spans="1:20" x14ac:dyDescent="0.35">
      <c r="A32" s="14"/>
      <c r="B32">
        <f t="shared" si="2"/>
        <v>10</v>
      </c>
      <c r="C32" s="3" t="s">
        <v>134</v>
      </c>
      <c r="E32">
        <v>0</v>
      </c>
      <c r="F32" s="3" t="s">
        <v>138</v>
      </c>
      <c r="G32" t="s">
        <v>86</v>
      </c>
      <c r="K32">
        <v>10</v>
      </c>
      <c r="P32" s="3"/>
      <c r="Q32" s="3"/>
      <c r="T32" t="str">
        <f t="shared" si="1"/>
        <v>['smallparts',0,0,'Small circuits','CLAIM',0,0,0,10,0,0,0,0,0,0,0],</v>
      </c>
    </row>
    <row r="33" spans="1:20" x14ac:dyDescent="0.35">
      <c r="A33" s="14"/>
      <c r="B33">
        <f t="shared" si="2"/>
        <v>80</v>
      </c>
      <c r="C33" s="3" t="s">
        <v>85</v>
      </c>
      <c r="E33">
        <v>40</v>
      </c>
      <c r="F33" s="3" t="s">
        <v>90</v>
      </c>
      <c r="G33" t="s">
        <v>86</v>
      </c>
      <c r="L33">
        <v>80</v>
      </c>
      <c r="P33" s="3"/>
      <c r="Q33" s="3"/>
      <c r="T33" t="str">
        <f t="shared" si="1"/>
        <v>['chestantimatter',0,40,'Antimatter traces','CLAIM',0,0,0,0,80,0,0,0,0,0,0],</v>
      </c>
    </row>
    <row r="34" spans="1:20" x14ac:dyDescent="0.35">
      <c r="A34" s="14"/>
      <c r="B34">
        <f t="shared" si="2"/>
        <v>80</v>
      </c>
      <c r="C34" s="3" t="s">
        <v>83</v>
      </c>
      <c r="E34">
        <v>40</v>
      </c>
      <c r="F34" s="3" t="s">
        <v>88</v>
      </c>
      <c r="G34" t="s">
        <v>86</v>
      </c>
      <c r="M34">
        <v>80</v>
      </c>
      <c r="P34" s="3"/>
      <c r="Q34" s="3"/>
      <c r="T34" t="str">
        <f t="shared" si="1"/>
        <v>['chestcoolant',0,40,'Coolant remains','CLAIM',0,0,0,0,0,80,0,0,0,0,0],</v>
      </c>
    </row>
    <row r="35" spans="1:20" x14ac:dyDescent="0.35">
      <c r="A35" s="14"/>
      <c r="B35">
        <f t="shared" si="2"/>
        <v>80</v>
      </c>
      <c r="C35" s="3" t="s">
        <v>82</v>
      </c>
      <c r="E35">
        <v>40</v>
      </c>
      <c r="F35" s="3" t="s">
        <v>87</v>
      </c>
      <c r="G35" t="s">
        <v>86</v>
      </c>
      <c r="N35">
        <v>80</v>
      </c>
      <c r="P35" s="3"/>
      <c r="Q35" s="3"/>
      <c r="T35" t="str">
        <f t="shared" si="1"/>
        <v>['chestmineral',0,40,'Mineral residue','CLAIM',0,0,0,0,0,0,80,0,0,0,0],</v>
      </c>
    </row>
    <row r="36" spans="1:20" x14ac:dyDescent="0.35">
      <c r="A36" s="14"/>
      <c r="B36">
        <f t="shared" si="2"/>
        <v>80</v>
      </c>
      <c r="C36" s="3" t="s">
        <v>84</v>
      </c>
      <c r="E36">
        <v>40</v>
      </c>
      <c r="F36" s="3" t="s">
        <v>89</v>
      </c>
      <c r="G36" t="s">
        <v>86</v>
      </c>
      <c r="O36">
        <v>80</v>
      </c>
      <c r="P36" s="3"/>
      <c r="Q36" s="3"/>
      <c r="T36" t="str">
        <f t="shared" si="1"/>
        <v>['chestsalvage',0,40,'Salvage pack','CLAIM',0,0,0,0,0,0,0,80,0,0,0],</v>
      </c>
    </row>
    <row r="37" spans="1:20" x14ac:dyDescent="0.35">
      <c r="A37" s="14"/>
      <c r="B37">
        <f t="shared" si="2"/>
        <v>0</v>
      </c>
      <c r="C37" s="3" t="s">
        <v>121</v>
      </c>
      <c r="E37">
        <v>0</v>
      </c>
      <c r="F37" s="3" t="s">
        <v>92</v>
      </c>
      <c r="G37" t="s">
        <v>107</v>
      </c>
      <c r="P37" s="3"/>
      <c r="Q37" s="3"/>
      <c r="T37" t="str">
        <f t="shared" si="1"/>
        <v>['door_easy',0,0,'Damaged door','HACK',0,0,0,0,0,0,0,0,0,0,0],</v>
      </c>
    </row>
    <row r="38" spans="1:20" x14ac:dyDescent="0.35">
      <c r="A38" s="14"/>
      <c r="B38">
        <f t="shared" si="2"/>
        <v>0</v>
      </c>
      <c r="C38" s="3" t="s">
        <v>122</v>
      </c>
      <c r="E38">
        <v>20</v>
      </c>
      <c r="F38" s="3" t="s">
        <v>93</v>
      </c>
      <c r="G38" t="s">
        <v>107</v>
      </c>
      <c r="P38" s="3"/>
      <c r="Q38" s="3"/>
      <c r="T38" t="str">
        <f t="shared" si="1"/>
        <v>['door_medium',0,20,'Locked door','HACK',0,0,0,0,0,0,0,0,0,0,0],</v>
      </c>
    </row>
    <row r="39" spans="1:20" x14ac:dyDescent="0.35">
      <c r="A39" s="14"/>
      <c r="B39">
        <f t="shared" si="2"/>
        <v>0</v>
      </c>
      <c r="C39" s="3" t="s">
        <v>123</v>
      </c>
      <c r="E39">
        <v>50</v>
      </c>
      <c r="F39" s="3" t="s">
        <v>125</v>
      </c>
      <c r="G39" t="s">
        <v>107</v>
      </c>
      <c r="P39" s="3"/>
      <c r="Q39" s="3"/>
      <c r="T39" t="str">
        <f t="shared" si="1"/>
        <v>['door_hard',0,50,'Reinforced door','HACK',0,0,0,0,0,0,0,0,0,0,0],</v>
      </c>
    </row>
    <row r="40" spans="1:20" x14ac:dyDescent="0.35">
      <c r="A40" s="14"/>
      <c r="B40">
        <f t="shared" si="2"/>
        <v>0</v>
      </c>
      <c r="C40" s="3" t="s">
        <v>124</v>
      </c>
      <c r="E40">
        <v>70</v>
      </c>
      <c r="F40" s="3" t="s">
        <v>112</v>
      </c>
      <c r="P40" s="3"/>
      <c r="Q40" s="3"/>
      <c r="T40" t="str">
        <f t="shared" si="1"/>
        <v>['door_extreme',0,70,'High security door',0,0,0,0,0,0,0,0,0,0,0,0],</v>
      </c>
    </row>
    <row r="41" spans="1:20" x14ac:dyDescent="0.35">
      <c r="A41" s="12" t="s">
        <v>95</v>
      </c>
      <c r="B41">
        <f t="shared" si="2"/>
        <v>0</v>
      </c>
      <c r="C41" s="9" t="s">
        <v>97</v>
      </c>
      <c r="E41">
        <v>10</v>
      </c>
      <c r="F41" s="9" t="s">
        <v>98</v>
      </c>
      <c r="G41" t="s">
        <v>108</v>
      </c>
      <c r="P41" s="9"/>
      <c r="Q41" s="9"/>
      <c r="T41" t="str">
        <f t="shared" si="1"/>
        <v>['plants',0,10,'Plants','RESTORE',0,0,0,0,0,0,0,0,0,0,0],</v>
      </c>
    </row>
    <row r="42" spans="1:20" x14ac:dyDescent="0.35">
      <c r="A42" s="12"/>
      <c r="B42">
        <f t="shared" si="2"/>
        <v>0</v>
      </c>
      <c r="C42" s="9" t="s">
        <v>109</v>
      </c>
      <c r="E42">
        <v>10</v>
      </c>
      <c r="F42" s="9" t="s">
        <v>110</v>
      </c>
      <c r="G42" t="s">
        <v>108</v>
      </c>
      <c r="P42" s="9"/>
      <c r="Q42" s="9"/>
      <c r="T42" t="str">
        <f t="shared" si="1"/>
        <v>['fridge',0,10,'Fridge','RESTORE',0,0,0,0,0,0,0,0,0,0,0],</v>
      </c>
    </row>
    <row r="43" spans="1:20" x14ac:dyDescent="0.35">
      <c r="A43" s="12"/>
      <c r="B43">
        <f t="shared" si="2"/>
        <v>0</v>
      </c>
      <c r="C43" s="9"/>
      <c r="F43" s="9"/>
      <c r="G43" t="s">
        <v>108</v>
      </c>
      <c r="P43" s="9"/>
      <c r="Q43" s="9"/>
      <c r="T43" t="str">
        <f t="shared" ref="T43:T48" si="3">"["&amp;IF(ISNUMBER(C43),C43,IF(C43="",0,CHAR(39)&amp;C43&amp;CHAR(39)))&amp;","&amp;IF(ISNUMBER(D43),D43,IF(D43="",0,CHAR(39)&amp;D43&amp;CHAR(39)))&amp;","&amp;IF(ISNUMBER(E43),E43,IF(E43="",0,CHAR(39)&amp;E43&amp;CHAR(39)))&amp;","&amp;IF(ISNUMBER(F43),F43,IF(F43="",0,CHAR(39)&amp;F43&amp;CHAR(39)))&amp;","&amp;IF(ISNUMBER(G43),G43,IF(G43="",0,CHAR(39)&amp;G43&amp;CHAR(39)))&amp;","&amp;IF(ISNUMBER(H43),H43,IF(H43="",0,CHAR(39)&amp;H43&amp;CHAR(39)))&amp;","&amp;IF(ISNUMBER(I43),I43,IF(I43="",0,CHAR(39)&amp;I43&amp;CHAR(39)))&amp;","&amp;IF(ISNUMBER(J43),J43,IF(J43="",0,CHAR(39)&amp;J43&amp;CHAR(39)))&amp;","&amp;IF(ISNUMBER(K43),K43,IF(K43="",0,CHAR(39)&amp;K43&amp;CHAR(39)))&amp;","&amp;IF(ISNUMBER(L43),L43,IF(L43="",0,CHAR(39)&amp;L43&amp;CHAR(39)))&amp;","&amp;IF(ISNUMBER(M43),M43,IF(M43="",0,CHAR(39)&amp;M43&amp;CHAR(39)))&amp;","&amp;IF(ISNUMBER(N43),N43,IF(N43="",0,CHAR(39)&amp;N43&amp;CHAR(39)))&amp;","&amp;IF(ISNUMBER(O43),O43,IF(O43="",0,CHAR(39)&amp;O43&amp;CHAR(39)))&amp;","&amp;IF(ISNUMBER(P43),P43,IF(P43="",0,CHAR(39)&amp;P43&amp;CHAR(39)))&amp;"],"</f>
        <v>[0,0,0,0,'RESTORE',0,0,0,0,0,0,0,0,0],</v>
      </c>
    </row>
    <row r="44" spans="1:20" x14ac:dyDescent="0.35">
      <c r="A44" s="12"/>
      <c r="B44">
        <f t="shared" si="2"/>
        <v>0</v>
      </c>
      <c r="C44" s="9"/>
      <c r="F44" s="9"/>
      <c r="G44" t="s">
        <v>108</v>
      </c>
      <c r="P44" s="9"/>
      <c r="Q44" s="9"/>
      <c r="T44" t="str">
        <f t="shared" si="3"/>
        <v>[0,0,0,0,'RESTORE',0,0,0,0,0,0,0,0,0],</v>
      </c>
    </row>
    <row r="45" spans="1:20" x14ac:dyDescent="0.35">
      <c r="A45" s="12"/>
      <c r="B45">
        <f t="shared" si="2"/>
        <v>0</v>
      </c>
      <c r="C45" s="9"/>
      <c r="F45" s="9"/>
      <c r="G45" t="s">
        <v>108</v>
      </c>
      <c r="P45" s="9"/>
      <c r="Q45" s="9"/>
      <c r="T45" t="str">
        <f t="shared" si="3"/>
        <v>[0,0,0,0,'RESTORE',0,0,0,0,0,0,0,0,0],</v>
      </c>
    </row>
    <row r="46" spans="1:20" x14ac:dyDescent="0.35">
      <c r="A46" s="12"/>
      <c r="B46">
        <f t="shared" si="2"/>
        <v>0</v>
      </c>
      <c r="C46" s="9"/>
      <c r="F46" s="9"/>
      <c r="G46" t="s">
        <v>108</v>
      </c>
      <c r="P46" s="9"/>
      <c r="Q46" s="9"/>
      <c r="T46" t="str">
        <f t="shared" si="3"/>
        <v>[0,0,0,0,'RESTORE',0,0,0,0,0,0,0,0,0],</v>
      </c>
    </row>
    <row r="47" spans="1:20" x14ac:dyDescent="0.35">
      <c r="A47" s="12"/>
      <c r="B47">
        <f t="shared" si="2"/>
        <v>0</v>
      </c>
      <c r="C47" s="9"/>
      <c r="F47" s="9"/>
      <c r="G47" t="s">
        <v>108</v>
      </c>
      <c r="P47" s="9"/>
      <c r="Q47" s="9"/>
      <c r="T47" t="str">
        <f t="shared" si="3"/>
        <v>[0,0,0,0,'RESTORE',0,0,0,0,0,0,0,0,0],</v>
      </c>
    </row>
    <row r="48" spans="1:20" x14ac:dyDescent="0.35">
      <c r="A48" s="12"/>
      <c r="B48">
        <f t="shared" si="2"/>
        <v>0</v>
      </c>
      <c r="C48" s="9"/>
      <c r="F48" s="9"/>
      <c r="G48" t="s">
        <v>108</v>
      </c>
      <c r="P48" s="9"/>
      <c r="Q48" s="9"/>
      <c r="T48" t="str">
        <f t="shared" si="3"/>
        <v>[0,0,0,0,'RESTORE',0,0,0,0,0,0,0,0,0],</v>
      </c>
    </row>
  </sheetData>
  <mergeCells count="6">
    <mergeCell ref="A41:A48"/>
    <mergeCell ref="H1:K1"/>
    <mergeCell ref="A4:A13"/>
    <mergeCell ref="A18:A40"/>
    <mergeCell ref="L1:O1"/>
    <mergeCell ref="A14:A17"/>
  </mergeCells>
  <conditionalFormatting sqref="C41:C1048576 C1:C17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:F48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41:Q48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ColWidth="97.453125" defaultRowHeight="57" customHeight="1" x14ac:dyDescent="0.35"/>
  <cols>
    <col min="1" max="16384" width="97.453125" style="10"/>
  </cols>
  <sheetData>
    <row r="1" spans="1:1" ht="57" customHeight="1" x14ac:dyDescent="0.35">
      <c r="A1" s="11" t="s">
        <v>118</v>
      </c>
    </row>
    <row r="2" spans="1:1" ht="57" customHeight="1" x14ac:dyDescent="0.35">
      <c r="A2" s="10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31"/>
  <sheetViews>
    <sheetView workbookViewId="0">
      <selection activeCell="N8" sqref="N8"/>
    </sheetView>
  </sheetViews>
  <sheetFormatPr defaultRowHeight="14.5" x14ac:dyDescent="0.35"/>
  <cols>
    <col min="4" max="4" width="13" customWidth="1"/>
    <col min="5" max="6" width="7.36328125" customWidth="1"/>
    <col min="7" max="7" width="14.36328125" customWidth="1"/>
    <col min="8" max="8" width="11.54296875" customWidth="1"/>
  </cols>
  <sheetData>
    <row r="2" spans="2:26" x14ac:dyDescent="0.35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5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5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5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5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5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5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5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5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5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5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5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5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5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5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5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5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5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5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5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5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5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5">
      <c r="B24">
        <f t="shared" si="1"/>
        <v>0</v>
      </c>
      <c r="C24" t="str">
        <f t="shared" si="2"/>
        <v/>
      </c>
    </row>
    <row r="25" spans="2:19" x14ac:dyDescent="0.35">
      <c r="B25">
        <f t="shared" si="1"/>
        <v>0</v>
      </c>
      <c r="C25" t="str">
        <f t="shared" si="2"/>
        <v/>
      </c>
    </row>
    <row r="26" spans="2:19" x14ac:dyDescent="0.35">
      <c r="B26">
        <f t="shared" si="1"/>
        <v>0</v>
      </c>
      <c r="C26" t="str">
        <f t="shared" si="2"/>
        <v/>
      </c>
    </row>
    <row r="27" spans="2:19" x14ac:dyDescent="0.35">
      <c r="B27">
        <f t="shared" si="1"/>
        <v>0</v>
      </c>
      <c r="C27" t="str">
        <f t="shared" si="2"/>
        <v/>
      </c>
    </row>
    <row r="28" spans="2:19" x14ac:dyDescent="0.35">
      <c r="B28">
        <f t="shared" si="1"/>
        <v>0</v>
      </c>
      <c r="C28" t="str">
        <f t="shared" si="2"/>
        <v/>
      </c>
    </row>
    <row r="29" spans="2:19" x14ac:dyDescent="0.35">
      <c r="B29">
        <f t="shared" si="1"/>
        <v>0</v>
      </c>
      <c r="C29" t="str">
        <f t="shared" si="2"/>
        <v/>
      </c>
    </row>
    <row r="30" spans="2:19" x14ac:dyDescent="0.35">
      <c r="B30">
        <f t="shared" si="1"/>
        <v>0</v>
      </c>
      <c r="C30" t="str">
        <f t="shared" si="2"/>
        <v/>
      </c>
    </row>
    <row r="31" spans="2:19" x14ac:dyDescent="0.35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2026-05-12T03:08:11Z</dcterms:modified>
</cp:coreProperties>
</file>