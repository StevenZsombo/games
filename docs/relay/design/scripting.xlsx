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bookViews>
    <workbookView xWindow="-110" yWindow="-110" windowWidth="23260" windowHeight="12580"/>
  </bookViews>
  <sheets>
    <sheet name="sheetwithani" sheetId="3" r:id="rId1"/>
    <sheet name="conventions" sheetId="4" r:id="rId2"/>
    <sheet name="bad" sheetId="1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" i="3"/>
  <c r="T5" i="3"/>
  <c r="T6" i="3"/>
  <c r="T7" i="3"/>
  <c r="T3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  <c r="B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<sst xmlns="http://schemas.openxmlformats.org/spreadsheetml/2006/main" count="234" uniqueCount="124">
  <si>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</si>
  <si>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</si>
  <si>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</si>
  <si>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</si>
  <si>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</si>
  <si>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</si>
  <si>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</si>
  <si>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</si>
  <si>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</si>
  <si>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</si>
  <si>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</si>
  <si>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</si>
  <si>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</si>
  <si>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</si>
  <si>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</si>
  <si>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</si>
  <si>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</si>
  <si>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</si>
  <si>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</si>
  <si>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</si>
  <si>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</si>
  <si>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</si>
  <si>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</si>
  <si>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</si>
  <si>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</si>
  <si>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</si>
  <si>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</si>
  <si>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</si>
  <si>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</si>
  <si>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</si>
  <si>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</si>
  <si>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</si>
  <si>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</si>
  <si>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</si>
  <si>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</si>
  <si>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</si>
  <si>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</si>
  <si>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</si>
  <si>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</si>
  <si>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</si>
  <si>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</si>
  <si>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</si>
  <si>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</si>
  <si>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</si>
  <si>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</si>
  <si>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</si>
  <si>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</si>
  <si>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</si>
  <si>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</si>
  <si>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</si>
  <si>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</si>
  <si>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</si>
  <si>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</si>
  <si>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</si>
  <si>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</si>
  <si>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</si>
  <si>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</si>
  <si>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</si>
  <si>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</si>
  <si>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</si>
  <si>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</si>
  <si>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</si>
  <si>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</si>
  <si>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</si>
  <si>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</si>
  <si>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</si>
  <si>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</si>
  <si>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</si>
  <si>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</si>
  <si>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</si>
  <si>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</si>
  <si>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</si>
  <si>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</si>
  <si>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</si>
  <si>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</si>
  <si>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</si>
  <si>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</si>
  <si>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</si>
  <si>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</si>
  <si>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water,hydro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</si>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</sst>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center"/>
    </xf>
    <xf numFmtId="0" fontId="0" fillId="9" borderId="0" xfId="0" applyFill="1"/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  <xf numFmtId="0" fontId="0" fillId="10" borderId="0" xfId="0" applyFill="1" applyAlignment="1">
      <alignment horizontal="center" vertical="center" textRotation="90"/>
    </xf>
    <xf numFmtId="0" fontId="0" fillId="10" borderId="0" xfId="0" applyFill="1"/>
    <xf numFmtId="0" fontId="0" fillId="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8"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36" sqref="E36"/>
    </sheetView>
  </sheetViews>
  <sheetFormatPr defaultRowHeight="14.5" x14ac:dyDescent="0.35"/>
  <cols>
    <col min="1" max="1" width="1.90625" customWidth="1"/>
    <col min="2" max="2" width="4.08984375" customWidth="1"/>
    <col min="3" max="3" width="13" customWidth="1"/>
    <col min="4" max="4" width="5.1796875" style="14" customWidth="1"/>
    <col min="5" max="5" width="7" style="14" customWidth="1"/>
    <col min="6" max="6" width="20.36328125" customWidth="1"/>
    <col min="7" max="7" width="12.7265625" customWidth="1"/>
    <col min="8" max="15" width="7.08984375" customWidth="1"/>
    <col min="16" max="16" width="30.81640625" customWidth="1"/>
    <col min="17" max="17" width="15.1796875" customWidth="1"/>
    <col min="18" max="18" width="12.1796875" customWidth="1"/>
    <col min="19" max="19" width="15.1796875" customWidth="1"/>
    <col min="20" max="20" width="15.36328125" customWidth="1"/>
  </cols>
  <sheetData>
    <row r="1" spans="1:20" x14ac:dyDescent="0.35">
      <c r="H1" s="8" t="s">
        <v>60</v>
      </c>
      <c r="I1" s="8"/>
      <c r="J1" s="8"/>
      <c r="K1" s="8"/>
      <c r="L1" s="8" t="s">
        <v>68</v>
      </c>
      <c r="M1" s="8"/>
      <c r="N1" s="8"/>
      <c r="O1" s="8"/>
      <c r="P1" t="s">
        <v>94</v>
      </c>
      <c r="Q1" t="s">
        <v>69</v>
      </c>
      <c r="R1" t="s">
        <v>78</v>
      </c>
    </row>
    <row r="2" spans="1:20" x14ac:dyDescent="0.35">
      <c r="C2" t="s">
        <v>119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5">
      <c r="B3" t="s">
        <v>9</v>
      </c>
      <c r="C3" t="s">
        <v>15</v>
      </c>
      <c r="D3" s="14" t="s">
        <v>8</v>
      </c>
      <c r="E3" s="14" t="s">
        <v>111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96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],"</f>
        <v>['terminal','delay','bucket','pretty','action','energy','water','food','parts','antimatter','coolant','minerals','salvage','description'],</v>
      </c>
    </row>
    <row r="4" spans="1:20" x14ac:dyDescent="0.35">
      <c r="A4" s="12" t="s">
        <v>65</v>
      </c>
      <c r="B4">
        <f>SUM(H4:O4)</f>
        <v>50</v>
      </c>
      <c r="C4" s="1" t="s">
        <v>1</v>
      </c>
      <c r="D4" s="14">
        <v>15</v>
      </c>
      <c r="E4" s="1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44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],"</f>
        <v>['reactor',15,0,'Reactor','REPAIR',50,0,0,0,0,0,0,0,0],</v>
      </c>
    </row>
    <row r="5" spans="1:20" x14ac:dyDescent="0.35">
      <c r="A5" s="12"/>
      <c r="B5">
        <f t="shared" ref="B5:B44" si="2">SUM(H5:O5)</f>
        <v>30</v>
      </c>
      <c r="C5" s="1" t="s">
        <v>53</v>
      </c>
      <c r="D5" s="14">
        <v>8</v>
      </c>
      <c r="E5" s="14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Array','REPAIR',30,0,0,0,0,0,0,0,0],</v>
      </c>
    </row>
    <row r="6" spans="1:20" x14ac:dyDescent="0.35">
      <c r="A6" s="12"/>
      <c r="B6">
        <f t="shared" si="2"/>
        <v>40</v>
      </c>
      <c r="C6" s="1" t="s">
        <v>44</v>
      </c>
      <c r="D6" s="14">
        <v>12</v>
      </c>
      <c r="E6" s="14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Support','REPAIR',0,20,20,0,0,0,0,0,0],</v>
      </c>
    </row>
    <row r="7" spans="1:20" x14ac:dyDescent="0.35">
      <c r="A7" s="12"/>
      <c r="B7">
        <f t="shared" si="2"/>
        <v>30</v>
      </c>
      <c r="C7" s="1" t="s">
        <v>3</v>
      </c>
      <c r="D7" s="14">
        <v>6</v>
      </c>
      <c r="E7" s="14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Recycler','REPAIR',0,30,0,0,0,0,0,0,0],</v>
      </c>
    </row>
    <row r="8" spans="1:20" x14ac:dyDescent="0.35">
      <c r="A8" s="12"/>
      <c r="B8">
        <f t="shared" si="2"/>
        <v>30</v>
      </c>
      <c r="C8" s="1" t="s">
        <v>41</v>
      </c>
      <c r="D8" s="14">
        <v>13</v>
      </c>
      <c r="E8" s="14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['hydro',13,10,'Hydroponics','REPAIR',0,0,30,0,0,0,0,0,0],</v>
      </c>
    </row>
    <row r="9" spans="1:20" x14ac:dyDescent="0.35">
      <c r="A9" s="12"/>
      <c r="B9">
        <f t="shared" si="2"/>
        <v>20</v>
      </c>
      <c r="C9" s="1" t="s">
        <v>42</v>
      </c>
      <c r="D9" s="14">
        <v>4</v>
      </c>
      <c r="E9" s="14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bay','REPAIR',0,0,0,20,0,0,0,0,0],</v>
      </c>
    </row>
    <row r="10" spans="1:20" x14ac:dyDescent="0.35">
      <c r="A10" s="12"/>
      <c r="B10">
        <f t="shared" si="2"/>
        <v>50</v>
      </c>
      <c r="C10" s="1" t="s">
        <v>5</v>
      </c>
      <c r="D10" s="14">
        <v>11</v>
      </c>
      <c r="E10" s="14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array','REPAIR',0,0,0,50,0,0,0,0,0],</v>
      </c>
    </row>
    <row r="11" spans="1:20" x14ac:dyDescent="0.35">
      <c r="A11" s="12"/>
      <c r="B11">
        <f t="shared" si="2"/>
        <v>10</v>
      </c>
      <c r="C11" s="1" t="s">
        <v>55</v>
      </c>
      <c r="D11" s="14">
        <v>13</v>
      </c>
      <c r="E11" s="14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5</v>
      </c>
      <c r="T11" t="str">
        <f t="shared" si="1"/>
        <v>['fab',13,20,'Fabricator','REPAIR',0,0,0,10,0,0,0,0,0],</v>
      </c>
    </row>
    <row r="12" spans="1:20" x14ac:dyDescent="0.35">
      <c r="A12" s="12"/>
      <c r="B12">
        <f t="shared" si="2"/>
        <v>20</v>
      </c>
      <c r="C12" s="1" t="s">
        <v>43</v>
      </c>
      <c r="D12" s="14">
        <v>14</v>
      </c>
      <c r="E12" s="14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79</v>
      </c>
      <c r="T12" t="str">
        <f t="shared" si="1"/>
        <v>['med',14,20,'Medical bay','REPAIR',0,10,10,0,0,0,0,0,0],</v>
      </c>
    </row>
    <row r="13" spans="1:20" x14ac:dyDescent="0.35">
      <c r="A13" s="12"/>
      <c r="B13">
        <f t="shared" si="2"/>
        <v>15</v>
      </c>
      <c r="C13" s="1" t="s">
        <v>57</v>
      </c>
      <c r="D13" s="14">
        <v>20</v>
      </c>
      <c r="E13" s="14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53</v>
      </c>
      <c r="T13" t="str">
        <f t="shared" si="1"/>
        <v>['anti',20,20,'Antimatter Chamber','REPAIR',10,0,0,0,5,0,0,0,0],</v>
      </c>
    </row>
    <row r="14" spans="1:20" ht="14.5" customHeight="1" x14ac:dyDescent="0.35">
      <c r="A14" s="11" t="s">
        <v>66</v>
      </c>
      <c r="B14">
        <f t="shared" si="2"/>
        <v>0</v>
      </c>
      <c r="C14" s="1" t="s">
        <v>81</v>
      </c>
      <c r="E14" s="14">
        <v>30</v>
      </c>
      <c r="F14" s="7" t="s">
        <v>113</v>
      </c>
      <c r="G14" t="s">
        <v>38</v>
      </c>
      <c r="P14" s="7" t="s">
        <v>114</v>
      </c>
      <c r="Q14" s="7" t="s">
        <v>74</v>
      </c>
      <c r="R14" t="s">
        <v>80</v>
      </c>
      <c r="T14" t="str">
        <f t="shared" si="1"/>
        <v>['hazard',0,30,'Space Hazard Unit','REPAIR',0,0,0,0,0,0,0,0,'Allows you to explore space.'],</v>
      </c>
    </row>
    <row r="15" spans="1:20" x14ac:dyDescent="0.35">
      <c r="A15" s="11"/>
      <c r="B15">
        <f t="shared" si="2"/>
        <v>0</v>
      </c>
      <c r="C15" s="1" t="s">
        <v>75</v>
      </c>
      <c r="F15" s="9" t="s">
        <v>76</v>
      </c>
      <c r="G15" s="9" t="s">
        <v>77</v>
      </c>
      <c r="P15" s="9" t="s">
        <v>115</v>
      </c>
      <c r="Q15" s="9"/>
      <c r="T15" t="str">
        <f t="shared" si="1"/>
        <v>['obs',0,0,'Observatory','WORLDMAP',0,0,0,0,0,0,0,0,'Lets you peek into the endless void of space.'],</v>
      </c>
    </row>
    <row r="16" spans="1:20" ht="14.5" customHeight="1" x14ac:dyDescent="0.35">
      <c r="A16" s="11"/>
      <c r="B16">
        <f t="shared" si="2"/>
        <v>0</v>
      </c>
      <c r="C16" s="1" t="s">
        <v>46</v>
      </c>
      <c r="F16" s="9" t="s">
        <v>29</v>
      </c>
      <c r="G16" s="9" t="s">
        <v>116</v>
      </c>
      <c r="P16" s="9"/>
      <c r="Q16" s="9"/>
      <c r="R16" t="s">
        <v>81</v>
      </c>
      <c r="T16" t="str">
        <f t="shared" si="1"/>
        <v>['shuttle',0,0,'Shuttle bay','TRAVEL',0,0,0,0,0,0,0,0,0],</v>
      </c>
    </row>
    <row r="17" spans="1:20" x14ac:dyDescent="0.35">
      <c r="A17" s="11"/>
      <c r="B17">
        <f t="shared" si="2"/>
        <v>0</v>
      </c>
      <c r="C17" s="1" t="s">
        <v>91</v>
      </c>
      <c r="F17" s="9" t="s">
        <v>39</v>
      </c>
      <c r="G17" s="9" t="s">
        <v>117</v>
      </c>
      <c r="P17" s="9"/>
      <c r="Q17" s="9"/>
      <c r="T17" t="str">
        <f t="shared" si="1"/>
        <v>['upgrade',0,0,'Upgrade center','SEEUPGRADES',0,0,0,0,0,0,0,0,0],</v>
      </c>
    </row>
    <row r="18" spans="1:20" x14ac:dyDescent="0.35">
      <c r="A18" s="10" t="s">
        <v>67</v>
      </c>
      <c r="B18">
        <f t="shared" si="2"/>
        <v>15</v>
      </c>
      <c r="C18" s="3" t="s">
        <v>48</v>
      </c>
      <c r="D18" s="14">
        <v>5</v>
      </c>
      <c r="E18" s="14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station','CAPTURE',0,0,0,0,0,0,15,0,0],</v>
      </c>
    </row>
    <row r="19" spans="1:20" x14ac:dyDescent="0.35">
      <c r="A19" s="10"/>
      <c r="B19">
        <f t="shared" si="2"/>
        <v>15</v>
      </c>
      <c r="C19" s="3" t="s">
        <v>12</v>
      </c>
      <c r="D19" s="14">
        <v>5</v>
      </c>
      <c r="E19" s="14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['scrapyard',5,30,'Scrapyard','CAPTURE',0,0,0,0,0,0,0,15,0],</v>
      </c>
    </row>
    <row r="20" spans="1:20" x14ac:dyDescent="0.35">
      <c r="A20" s="10"/>
      <c r="B20">
        <f t="shared" si="2"/>
        <v>15</v>
      </c>
      <c r="C20" s="3" t="s">
        <v>49</v>
      </c>
      <c r="D20" s="14">
        <v>5</v>
      </c>
      <c r="E20" s="14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vault','CAPTURE',0,0,0,0,0,5,5,5,0],</v>
      </c>
    </row>
    <row r="21" spans="1:20" x14ac:dyDescent="0.35">
      <c r="A21" s="10"/>
      <c r="B21">
        <f t="shared" si="2"/>
        <v>0</v>
      </c>
      <c r="C21" s="3" t="s">
        <v>50</v>
      </c>
      <c r="D21" s="14">
        <v>5</v>
      </c>
      <c r="E21" s="14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depot','CAPTURE',0,0,0,0,0,0,0,0,0],</v>
      </c>
    </row>
    <row r="22" spans="1:20" x14ac:dyDescent="0.35">
      <c r="A22" s="10"/>
      <c r="B22">
        <f t="shared" si="2"/>
        <v>15</v>
      </c>
      <c r="C22" s="3" t="s">
        <v>51</v>
      </c>
      <c r="D22" s="14">
        <v>5</v>
      </c>
      <c r="E22" s="14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core','CAPTURE',0,0,0,0,15,0,0,0,0],</v>
      </c>
    </row>
    <row r="23" spans="1:20" x14ac:dyDescent="0.35">
      <c r="A23" s="10"/>
      <c r="B23">
        <f t="shared" si="2"/>
        <v>15</v>
      </c>
      <c r="C23" s="3" t="s">
        <v>11</v>
      </c>
      <c r="D23" s="14">
        <v>5</v>
      </c>
      <c r="E23" s="14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plant','CAPTURE',0,0,0,0,0,0,10,5,0],</v>
      </c>
    </row>
    <row r="24" spans="1:20" x14ac:dyDescent="0.35">
      <c r="A24" s="10"/>
      <c r="B24">
        <f t="shared" si="2"/>
        <v>15</v>
      </c>
      <c r="C24" s="3" t="s">
        <v>52</v>
      </c>
      <c r="D24" s="14">
        <v>5</v>
      </c>
      <c r="E24" s="1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lab','CAPTURE',0,0,0,0,5,5,0,5,0],</v>
      </c>
    </row>
    <row r="25" spans="1:20" x14ac:dyDescent="0.35">
      <c r="A25" s="10"/>
      <c r="B25">
        <f t="shared" si="2"/>
        <v>120</v>
      </c>
      <c r="C25" s="3" t="s">
        <v>99</v>
      </c>
      <c r="E25" s="14">
        <v>20</v>
      </c>
      <c r="F25" s="3" t="s">
        <v>104</v>
      </c>
      <c r="G25" t="s">
        <v>86</v>
      </c>
      <c r="H25">
        <v>120</v>
      </c>
      <c r="P25" s="3"/>
      <c r="Q25" s="3"/>
    </row>
    <row r="26" spans="1:20" x14ac:dyDescent="0.35">
      <c r="A26" s="10"/>
      <c r="B26">
        <f t="shared" si="2"/>
        <v>120</v>
      </c>
      <c r="C26" s="3" t="s">
        <v>100</v>
      </c>
      <c r="E26" s="14">
        <v>20</v>
      </c>
      <c r="F26" s="3" t="s">
        <v>105</v>
      </c>
      <c r="G26" t="s">
        <v>86</v>
      </c>
      <c r="I26">
        <v>120</v>
      </c>
      <c r="P26" s="3"/>
      <c r="Q26" s="3"/>
    </row>
    <row r="27" spans="1:20" x14ac:dyDescent="0.35">
      <c r="A27" s="10"/>
      <c r="B27">
        <f t="shared" si="2"/>
        <v>120</v>
      </c>
      <c r="C27" s="3" t="s">
        <v>101</v>
      </c>
      <c r="E27" s="14">
        <v>20</v>
      </c>
      <c r="F27" s="3" t="s">
        <v>106</v>
      </c>
      <c r="G27" t="s">
        <v>86</v>
      </c>
      <c r="J27">
        <v>120</v>
      </c>
      <c r="P27" s="3"/>
      <c r="Q27" s="3"/>
    </row>
    <row r="28" spans="1:20" x14ac:dyDescent="0.35">
      <c r="A28" s="10"/>
      <c r="B28">
        <f t="shared" si="2"/>
        <v>120</v>
      </c>
      <c r="C28" s="3" t="s">
        <v>102</v>
      </c>
      <c r="E28" s="14">
        <v>20</v>
      </c>
      <c r="F28" s="3" t="s">
        <v>103</v>
      </c>
      <c r="G28" t="s">
        <v>86</v>
      </c>
      <c r="K28">
        <v>120</v>
      </c>
      <c r="P28" s="3"/>
      <c r="Q28" s="3"/>
    </row>
    <row r="29" spans="1:20" x14ac:dyDescent="0.35">
      <c r="A29" s="10"/>
      <c r="B29">
        <f t="shared" si="2"/>
        <v>80</v>
      </c>
      <c r="C29" s="3" t="s">
        <v>85</v>
      </c>
      <c r="E29" s="14">
        <v>40</v>
      </c>
      <c r="F29" s="3" t="s">
        <v>90</v>
      </c>
      <c r="G29" t="s">
        <v>86</v>
      </c>
      <c r="L29">
        <v>80</v>
      </c>
      <c r="P29" s="3"/>
      <c r="Q29" s="3"/>
      <c r="T29" t="str">
        <f t="shared" si="1"/>
        <v>['chestantimatter',0,40,'Antimatter traces','CLAIM',0,0,0,0,80,0,0,0,0],</v>
      </c>
    </row>
    <row r="30" spans="1:20" x14ac:dyDescent="0.35">
      <c r="A30" s="10"/>
      <c r="B30">
        <f t="shared" si="2"/>
        <v>80</v>
      </c>
      <c r="C30" s="3" t="s">
        <v>83</v>
      </c>
      <c r="E30" s="14">
        <v>40</v>
      </c>
      <c r="F30" s="3" t="s">
        <v>88</v>
      </c>
      <c r="G30" t="s">
        <v>86</v>
      </c>
      <c r="M30">
        <v>80</v>
      </c>
      <c r="P30" s="3"/>
      <c r="Q30" s="3"/>
      <c r="T30" t="str">
        <f t="shared" si="1"/>
        <v>['chestcoolant',0,40,'Coolant remains','CLAIM',0,0,0,0,0,80,0,0,0],</v>
      </c>
    </row>
    <row r="31" spans="1:20" x14ac:dyDescent="0.35">
      <c r="A31" s="10"/>
      <c r="B31">
        <f t="shared" si="2"/>
        <v>80</v>
      </c>
      <c r="C31" s="3" t="s">
        <v>82</v>
      </c>
      <c r="E31" s="14">
        <v>40</v>
      </c>
      <c r="F31" s="3" t="s">
        <v>87</v>
      </c>
      <c r="G31" t="s">
        <v>86</v>
      </c>
      <c r="N31">
        <v>80</v>
      </c>
      <c r="P31" s="3"/>
      <c r="Q31" s="3"/>
      <c r="T31" t="str">
        <f t="shared" si="1"/>
        <v>['chestmineral',0,40,'Mineral residue','CLAIM',0,0,0,0,0,0,80,0,0],</v>
      </c>
    </row>
    <row r="32" spans="1:20" x14ac:dyDescent="0.35">
      <c r="A32" s="10"/>
      <c r="B32">
        <f t="shared" si="2"/>
        <v>80</v>
      </c>
      <c r="C32" s="3" t="s">
        <v>84</v>
      </c>
      <c r="E32" s="14">
        <v>40</v>
      </c>
      <c r="F32" s="3" t="s">
        <v>89</v>
      </c>
      <c r="G32" t="s">
        <v>86</v>
      </c>
      <c r="O32">
        <v>80</v>
      </c>
      <c r="P32" s="3"/>
      <c r="Q32" s="3"/>
      <c r="T32" t="str">
        <f t="shared" si="1"/>
        <v>['chestsalvage',0,40,'Salvage pack','CLAIM',0,0,0,0,0,0,0,80,0],</v>
      </c>
    </row>
    <row r="33" spans="1:20" x14ac:dyDescent="0.35">
      <c r="A33" s="10"/>
      <c r="B33">
        <f t="shared" si="2"/>
        <v>0</v>
      </c>
      <c r="C33" s="3" t="s">
        <v>121</v>
      </c>
      <c r="E33" s="14">
        <v>0</v>
      </c>
      <c r="F33" s="3" t="s">
        <v>92</v>
      </c>
      <c r="G33" t="s">
        <v>107</v>
      </c>
      <c r="P33" s="3"/>
      <c r="Q33" s="3"/>
      <c r="T33" t="str">
        <f t="shared" si="1"/>
        <v>['door_easy',0,0,'Damaged door','HACK',0,0,0,0,0,0,0,0,0],</v>
      </c>
    </row>
    <row r="34" spans="1:20" x14ac:dyDescent="0.35">
      <c r="A34" s="10"/>
      <c r="B34">
        <f t="shared" si="2"/>
        <v>0</v>
      </c>
      <c r="C34" s="3" t="s">
        <v>122</v>
      </c>
      <c r="E34" s="14">
        <v>20</v>
      </c>
      <c r="F34" s="3" t="s">
        <v>93</v>
      </c>
      <c r="G34" t="s">
        <v>107</v>
      </c>
      <c r="P34" s="3"/>
      <c r="Q34" s="3"/>
      <c r="T34" t="str">
        <f t="shared" si="1"/>
        <v>['door_medium',0,20,'Locked door','HACK',0,0,0,0,0,0,0,0,0],</v>
      </c>
    </row>
    <row r="35" spans="1:20" x14ac:dyDescent="0.35">
      <c r="A35" s="10"/>
      <c r="B35">
        <f t="shared" si="2"/>
        <v>0</v>
      </c>
      <c r="C35" s="3" t="s">
        <v>123</v>
      </c>
      <c r="E35" s="14">
        <v>50</v>
      </c>
      <c r="F35" s="3" t="s">
        <v>112</v>
      </c>
      <c r="G35" t="s">
        <v>107</v>
      </c>
      <c r="P35" s="3"/>
      <c r="Q35" s="3"/>
      <c r="T35" t="str">
        <f t="shared" si="1"/>
        <v>['door_hard',0,50,'High security door','HACK',0,0,0,0,0,0,0,0,0],</v>
      </c>
    </row>
    <row r="36" spans="1:20" x14ac:dyDescent="0.35">
      <c r="A36" s="10"/>
      <c r="B36">
        <f t="shared" si="2"/>
        <v>0</v>
      </c>
      <c r="C36" s="3"/>
      <c r="F36" s="3"/>
      <c r="P36" s="3"/>
      <c r="Q36" s="3"/>
      <c r="T36" t="str">
        <f t="shared" si="1"/>
        <v>[0,0,0,0,0,0,0,0,0,0,0,0,0,0],</v>
      </c>
    </row>
    <row r="37" spans="1:20" x14ac:dyDescent="0.35">
      <c r="A37" s="12" t="s">
        <v>95</v>
      </c>
      <c r="B37">
        <f t="shared" si="2"/>
        <v>0</v>
      </c>
      <c r="C37" s="13" t="s">
        <v>97</v>
      </c>
      <c r="E37" s="14">
        <v>10</v>
      </c>
      <c r="F37" s="13" t="s">
        <v>98</v>
      </c>
      <c r="G37" t="s">
        <v>108</v>
      </c>
      <c r="P37" s="13"/>
      <c r="Q37" s="13"/>
      <c r="T37" t="str">
        <f t="shared" si="1"/>
        <v>['plants',0,10,'Plants','RESTORE',0,0,0,0,0,0,0,0,0],</v>
      </c>
    </row>
    <row r="38" spans="1:20" x14ac:dyDescent="0.35">
      <c r="A38" s="12"/>
      <c r="B38">
        <f t="shared" si="2"/>
        <v>0</v>
      </c>
      <c r="C38" s="13" t="s">
        <v>109</v>
      </c>
      <c r="E38" s="14">
        <v>10</v>
      </c>
      <c r="F38" s="13" t="s">
        <v>110</v>
      </c>
      <c r="G38" t="s">
        <v>108</v>
      </c>
      <c r="P38" s="13"/>
      <c r="Q38" s="13"/>
      <c r="T38" t="str">
        <f t="shared" si="1"/>
        <v>['fridge',0,10,'Fridge','RESTORE',0,0,0,0,0,0,0,0,0],</v>
      </c>
    </row>
    <row r="39" spans="1:20" x14ac:dyDescent="0.35">
      <c r="A39" s="12"/>
      <c r="B39">
        <f t="shared" si="2"/>
        <v>0</v>
      </c>
      <c r="C39" s="13"/>
      <c r="F39" s="13"/>
      <c r="G39" t="s">
        <v>108</v>
      </c>
      <c r="P39" s="13"/>
      <c r="Q39" s="13"/>
      <c r="T39" t="str">
        <f t="shared" si="1"/>
        <v>[0,0,0,0,'RESTORE',0,0,0,0,0,0,0,0,0],</v>
      </c>
    </row>
    <row r="40" spans="1:20" x14ac:dyDescent="0.35">
      <c r="A40" s="12"/>
      <c r="B40">
        <f t="shared" si="2"/>
        <v>0</v>
      </c>
      <c r="C40" s="13"/>
      <c r="F40" s="13"/>
      <c r="G40" t="s">
        <v>108</v>
      </c>
      <c r="P40" s="13"/>
      <c r="Q40" s="13"/>
      <c r="T40" t="str">
        <f t="shared" si="1"/>
        <v>[0,0,0,0,'RESTORE',0,0,0,0,0,0,0,0,0],</v>
      </c>
    </row>
    <row r="41" spans="1:20" x14ac:dyDescent="0.35">
      <c r="A41" s="12"/>
      <c r="B41">
        <f t="shared" si="2"/>
        <v>0</v>
      </c>
      <c r="C41" s="13"/>
      <c r="F41" s="13"/>
      <c r="G41" t="s">
        <v>108</v>
      </c>
      <c r="P41" s="13"/>
      <c r="Q41" s="13"/>
      <c r="T41" t="str">
        <f t="shared" si="1"/>
        <v>[0,0,0,0,'RESTORE',0,0,0,0,0,0,0,0,0],</v>
      </c>
    </row>
    <row r="42" spans="1:20" x14ac:dyDescent="0.35">
      <c r="A42" s="12"/>
      <c r="B42">
        <f t="shared" si="2"/>
        <v>0</v>
      </c>
      <c r="C42" s="13"/>
      <c r="F42" s="13"/>
      <c r="G42" t="s">
        <v>108</v>
      </c>
      <c r="P42" s="13"/>
      <c r="Q42" s="13"/>
      <c r="T42" t="str">
        <f t="shared" si="1"/>
        <v>[0,0,0,0,'RESTORE',0,0,0,0,0,0,0,0,0],</v>
      </c>
    </row>
    <row r="43" spans="1:20" x14ac:dyDescent="0.35">
      <c r="A43" s="12"/>
      <c r="B43">
        <f t="shared" si="2"/>
        <v>0</v>
      </c>
      <c r="C43" s="13"/>
      <c r="F43" s="13"/>
      <c r="G43" t="s">
        <v>108</v>
      </c>
      <c r="P43" s="13"/>
      <c r="Q43" s="13"/>
      <c r="T43" t="str">
        <f t="shared" si="1"/>
        <v>[0,0,0,0,'RESTORE',0,0,0,0,0,0,0,0,0],</v>
      </c>
    </row>
    <row r="44" spans="1:20" x14ac:dyDescent="0.35">
      <c r="A44" s="12"/>
      <c r="B44">
        <f t="shared" si="2"/>
        <v>0</v>
      </c>
      <c r="C44" s="13"/>
      <c r="F44" s="13"/>
      <c r="G44" t="s">
        <v>108</v>
      </c>
      <c r="P44" s="13"/>
      <c r="Q44" s="13"/>
      <c r="T44" t="str">
        <f t="shared" si="1"/>
        <v>[0,0,0,0,'RESTORE',0,0,0,0,0,0,0,0,0],</v>
      </c>
    </row>
  </sheetData>
  <mergeCells count="6">
    <mergeCell ref="A37:A44"/>
    <mergeCell ref="H1:K1"/>
    <mergeCell ref="A4:A13"/>
    <mergeCell ref="A18:A36"/>
    <mergeCell ref="L1:O1"/>
    <mergeCell ref="A14:A17"/>
  </mergeCells>
  <conditionalFormatting sqref="D2:O2 T2:U2">
    <cfRule type="duplicateValues" dxfId="16" priority="15"/>
  </conditionalFormatting>
  <conditionalFormatting sqref="Q2:S2">
    <cfRule type="duplicateValues" dxfId="15" priority="10"/>
  </conditionalFormatting>
  <conditionalFormatting sqref="Q3:R3">
    <cfRule type="duplicateValues" dxfId="14" priority="9"/>
  </conditionalFormatting>
  <conditionalFormatting sqref="C1:C17 C37:C1048576">
    <cfRule type="duplicateValues" dxfId="13" priority="16"/>
  </conditionalFormatting>
  <conditionalFormatting sqref="P2">
    <cfRule type="duplicateValues" dxfId="12" priority="7"/>
  </conditionalFormatting>
  <conditionalFormatting sqref="P3">
    <cfRule type="duplicateValues" dxfId="11" priority="5"/>
  </conditionalFormatting>
  <conditionalFormatting sqref="P37:Q44">
    <cfRule type="duplicateValues" dxfId="10" priority="4"/>
  </conditionalFormatting>
  <conditionalFormatting sqref="F37:F44">
    <cfRule type="duplicateValues" dxfId="9" priority="3"/>
  </conditionalFormatting>
  <conditionalFormatting sqref="E4:E6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ColWidth="97.453125" defaultRowHeight="57" customHeight="1" x14ac:dyDescent="0.35"/>
  <cols>
    <col min="1" max="16384" width="97.453125" style="15"/>
  </cols>
  <sheetData>
    <row r="1" spans="1:1" ht="57" customHeight="1" x14ac:dyDescent="0.35">
      <c r="A1" s="16" t="s">
        <v>118</v>
      </c>
    </row>
    <row r="2" spans="1:1" ht="57" customHeight="1" x14ac:dyDescent="0.35">
      <c r="A2" s="15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31"/>
  <sheetViews>
    <sheetView workbookViewId="0">
      <selection activeCell="N8" sqref="N8"/>
    </sheetView>
  </sheetViews>
  <sheetFormatPr defaultRowHeight="14.5" x14ac:dyDescent="0.35"/>
  <cols>
    <col min="4" max="4" width="13" customWidth="1"/>
    <col min="5" max="6" width="7.36328125" customWidth="1"/>
    <col min="7" max="7" width="14.36328125" customWidth="1"/>
    <col min="8" max="8" width="11.54296875" customWidth="1"/>
  </cols>
  <sheetData>
    <row r="2" spans="2:26" x14ac:dyDescent="0.35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5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e" cm="1">
        <f t="array" aca="1" ref="P3" ca="1">"["&amp;_xlfn.TEXTJOIN(",",FALSE,IF(ISTEXT(D3:O3),""""&amp;D3:O3&amp;"""",IF(D3:O3="",0,D3:O3)))&amp;"],"</f>
        <v>#NAME?</v>
      </c>
    </row>
    <row r="4" spans="2:26" x14ac:dyDescent="0.35">
      <c r="B4" t="e">
        <f ca="1">SUM(E4:AA4)</f>
        <v>#NAME?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e" cm="1">
        <f t="array" aca="1" ref="P4" ca="1">"["&amp;_xlfn.TEXTJOIN(",",FALSE,IF(ISTEXT(D4:O4),""""&amp;D4:O4&amp;"""",IF(D4:O4="",0,D4:O4)))&amp;"],"</f>
        <v>#NAME?</v>
      </c>
    </row>
    <row r="5" spans="2:26" x14ac:dyDescent="0.35">
      <c r="B5" t="e">
        <f t="shared" ref="B5:B31" ca="1" si="1">SUM(E5:AA5)</f>
        <v>#NAME?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e" cm="1">
        <f t="array" aca="1" ref="P5" ca="1">"["&amp;_xlfn.TEXTJOIN(",",FALSE,IF(ISTEXT(D5:O5),""""&amp;D5:O5&amp;"""",IF(D5:O5="",0,D5:O5)))&amp;"],"</f>
        <v>#NAME?</v>
      </c>
      <c r="S5" t="str">
        <f>" * @property {number} "&amp;D5</f>
        <v xml:space="preserve"> * @property {number} solar</v>
      </c>
    </row>
    <row r="6" spans="2:26" x14ac:dyDescent="0.35">
      <c r="B6" t="e">
        <f t="shared" ca="1" si="1"/>
        <v>#NAME?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e" cm="1">
        <f t="array" aca="1" ref="P6" ca="1">"["&amp;_xlfn.TEXTJOIN(",",FALSE,IF(ISTEXT(D6:O6),""""&amp;D6:O6&amp;"""",IF(D6:O6="",0,D6:O6)))&amp;"],"</f>
        <v>#NAME?</v>
      </c>
      <c r="S6" t="str">
        <f t="shared" ref="S6:S23" si="3">" * @property {number} "&amp;D6</f>
        <v xml:space="preserve"> * @property {number} hydro</v>
      </c>
    </row>
    <row r="7" spans="2:26" x14ac:dyDescent="0.35">
      <c r="B7" t="e">
        <f t="shared" ca="1" si="1"/>
        <v>#NAME?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e" cm="1">
        <f t="array" aca="1" ref="P7" ca="1">"["&amp;_xlfn.TEXTJOIN(",",FALSE,IF(ISTEXT(D7:O7),""""&amp;D7:O7&amp;"""",IF(D7:O7="",0,D7:O7)))&amp;"],"</f>
        <v>#NAME?</v>
      </c>
      <c r="S7" t="str">
        <f t="shared" si="3"/>
        <v xml:space="preserve"> * @property {number} water</v>
      </c>
    </row>
    <row r="8" spans="2:26" x14ac:dyDescent="0.35">
      <c r="B8" t="e">
        <f t="shared" ca="1" si="1"/>
        <v>#NAME?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e" cm="1">
        <f t="array" aca="1" ref="P8" ca="1">"["&amp;_xlfn.TEXTJOIN(",",FALSE,IF(ISTEXT(D8:O8),""""&amp;D8:O8&amp;"""",IF(D8:O8="",0,D8:O8)))&amp;"],"</f>
        <v>#NAME?</v>
      </c>
      <c r="S8" t="str">
        <f t="shared" si="3"/>
        <v xml:space="preserve"> * @property {number} cargo</v>
      </c>
    </row>
    <row r="9" spans="2:26" x14ac:dyDescent="0.35">
      <c r="B9" t="e">
        <f t="shared" ca="1" si="1"/>
        <v>#NAME?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e" cm="1">
        <f t="array" aca="1" ref="P9" ca="1">"["&amp;_xlfn.TEXTJOIN(",",FALSE,IF(ISTEXT(D9:O9),""""&amp;D9:O9&amp;"""",IF(D9:O9="",0,D9:O9)))&amp;"],"</f>
        <v>#NAME?</v>
      </c>
      <c r="S9" t="str">
        <f t="shared" si="3"/>
        <v xml:space="preserve"> * @property {number} comms</v>
      </c>
    </row>
    <row r="10" spans="2:26" x14ac:dyDescent="0.35">
      <c r="B10" t="e">
        <f t="shared" ca="1" si="1"/>
        <v>#NAME?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e" cm="1">
        <f t="array" aca="1" ref="P10" ca="1">"["&amp;_xlfn.TEXTJOIN(",",FALSE,IF(ISTEXT(D10:O10),""""&amp;D10:O10&amp;"""",IF(D10:O10="",0,D10:O10)))&amp;"],"</f>
        <v>#NAME?</v>
      </c>
      <c r="S10" t="str">
        <f t="shared" si="3"/>
        <v xml:space="preserve"> * @property {number} fab</v>
      </c>
    </row>
    <row r="11" spans="2:26" x14ac:dyDescent="0.35">
      <c r="B11" t="e">
        <f t="shared" ca="1" si="1"/>
        <v>#NAME?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e" cm="1">
        <f t="array" aca="1" ref="P11" ca="1">"["&amp;_xlfn.TEXTJOIN(",",FALSE,IF(ISTEXT(D11:O11),""""&amp;D11:O11&amp;"""",IF(D11:O11="",0,D11:O11)))&amp;"],"</f>
        <v>#NAME?</v>
      </c>
      <c r="S11" t="str">
        <f t="shared" si="3"/>
        <v xml:space="preserve"> * @property {number} med</v>
      </c>
    </row>
    <row r="12" spans="2:26" x14ac:dyDescent="0.35">
      <c r="B12" t="e">
        <f t="shared" ca="1" si="1"/>
        <v>#NAME?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e" cm="1">
        <f t="array" aca="1" ref="P12" ca="1">"["&amp;_xlfn.TEXTJOIN(",",FALSE,IF(ISTEXT(D12:O12),""""&amp;D12:O12&amp;"""",IF(D12:O12="",0,D12:O12)))&amp;"],"</f>
        <v>#NAME?</v>
      </c>
      <c r="S12" t="str">
        <f t="shared" si="3"/>
        <v xml:space="preserve"> * @property {number} life</v>
      </c>
    </row>
    <row r="13" spans="2:26" x14ac:dyDescent="0.35">
      <c r="B13" t="e">
        <f t="shared" ca="1" si="1"/>
        <v>#NAME?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e" cm="1">
        <f t="array" aca="1" ref="P13" ca="1">"["&amp;_xlfn.TEXTJOIN(",",FALSE,IF(ISTEXT(D13:O13),""""&amp;D13:O13&amp;"""",IF(D13:O13="",0,D13:O13)))&amp;"],"</f>
        <v>#NAME?</v>
      </c>
      <c r="S13" t="str">
        <f t="shared" si="3"/>
        <v xml:space="preserve"> * @property {number} machine</v>
      </c>
    </row>
    <row r="14" spans="2:26" x14ac:dyDescent="0.35">
      <c r="C14" t="str">
        <f t="shared" si="2"/>
        <v>s</v>
      </c>
      <c r="D14" s="1" t="s">
        <v>46</v>
      </c>
      <c r="G14" t="s">
        <v>29</v>
      </c>
      <c r="H14" t="s">
        <v>37</v>
      </c>
      <c r="P14" t="e" cm="1">
        <f t="array" aca="1" ref="P14" ca="1">"["&amp;_xlfn.TEXTJOIN(",",FALSE,IF(ISTEXT(D14:O14),""""&amp;D14:O14&amp;"""",IF(D14:O14="",0,D14:O14)))&amp;"],"</f>
        <v>#NAME?</v>
      </c>
      <c r="S14" t="str">
        <f t="shared" si="3"/>
        <v xml:space="preserve"> * @property {number} shuttle</v>
      </c>
    </row>
    <row r="15" spans="2:26" x14ac:dyDescent="0.35">
      <c r="C15" t="str">
        <f t="shared" si="2"/>
        <v>a</v>
      </c>
      <c r="D15" s="1" t="s">
        <v>54</v>
      </c>
      <c r="G15" t="s">
        <v>39</v>
      </c>
      <c r="H15" t="s">
        <v>37</v>
      </c>
      <c r="P15" t="e" cm="1">
        <f t="array" aca="1" ref="P15" ca="1">"["&amp;_xlfn.TEXTJOIN(",",FALSE,IF(ISTEXT(D15:O15),""""&amp;D15:O15&amp;"""",IF(D15:O15="",0,D15:O15)))&amp;"],"</f>
        <v>#NAME?</v>
      </c>
      <c r="S15" t="str">
        <f t="shared" si="3"/>
        <v xml:space="preserve"> * @property {number} access</v>
      </c>
    </row>
    <row r="16" spans="2:26" x14ac:dyDescent="0.35">
      <c r="C16" t="str">
        <f t="shared" si="2"/>
        <v>d</v>
      </c>
      <c r="D16" s="1" t="s">
        <v>47</v>
      </c>
      <c r="G16" t="s">
        <v>40</v>
      </c>
      <c r="H16" t="s">
        <v>37</v>
      </c>
      <c r="P16" t="e" cm="1">
        <f t="array" aca="1" ref="P16" ca="1">"["&amp;_xlfn.TEXTJOIN(",",FALSE,IF(ISTEXT(D16:O16),""""&amp;D16:O16&amp;"""",IF(D16:O16="",0,D16:O16)))&amp;"],"</f>
        <v>#NAME?</v>
      </c>
      <c r="S16" t="str">
        <f t="shared" si="3"/>
        <v xml:space="preserve"> * @property {number} door</v>
      </c>
    </row>
    <row r="17" spans="2:19" x14ac:dyDescent="0.35">
      <c r="B17" t="e">
        <f t="shared" ca="1" si="1"/>
        <v>#NAME?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e" cm="1">
        <f t="array" aca="1" ref="P17" ca="1">"["&amp;_xlfn.TEXTJOIN(",",FALSE,IF(ISTEXT(D17:O17),""""&amp;D17:O17&amp;"""",IF(D17:O17="",0,D17:O17)))&amp;"],"</f>
        <v>#NAME?</v>
      </c>
      <c r="S17" t="str">
        <f t="shared" si="3"/>
        <v xml:space="preserve"> * @property {number} mining</v>
      </c>
    </row>
    <row r="18" spans="2:19" x14ac:dyDescent="0.35">
      <c r="B18" t="e">
        <f t="shared" ca="1" si="1"/>
        <v>#NAME?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e" cm="1">
        <f t="array" aca="1" ref="P18" ca="1">"["&amp;_xlfn.TEXTJOIN(",",FALSE,IF(ISTEXT(D18:O18),""""&amp;D18:O18&amp;"""",IF(D18:O18="",0,D18:O18)))&amp;"],"</f>
        <v>#NAME?</v>
      </c>
      <c r="S18" t="str">
        <f t="shared" si="3"/>
        <v xml:space="preserve"> * @property {number} scrapyard</v>
      </c>
    </row>
    <row r="19" spans="2:19" x14ac:dyDescent="0.35">
      <c r="B19" t="e">
        <f t="shared" ca="1" si="1"/>
        <v>#NAME?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e" cm="1">
        <f t="array" aca="1" ref="P19" ca="1">"["&amp;_xlfn.TEXTJOIN(",",FALSE,IF(ISTEXT(D19:O19),""""&amp;D19:O19&amp;"""",IF(D19:O19="",0,D19:O19)))&amp;"],"</f>
        <v>#NAME?</v>
      </c>
      <c r="S19" t="str">
        <f t="shared" si="3"/>
        <v xml:space="preserve"> * @property {number} data</v>
      </c>
    </row>
    <row r="20" spans="2:19" x14ac:dyDescent="0.35">
      <c r="B20" t="e">
        <f t="shared" ca="1" si="1"/>
        <v>#NAME?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e" cm="1">
        <f t="array" aca="1" ref="P20" ca="1">"["&amp;_xlfn.TEXTJOIN(",",FALSE,IF(ISTEXT(D20:O20),""""&amp;D20:O20&amp;"""",IF(D20:O20="",0,D20:O20)))&amp;"],"</f>
        <v>#NAME?</v>
      </c>
      <c r="S20" t="str">
        <f t="shared" si="3"/>
        <v xml:space="preserve"> * @property {number} supply</v>
      </c>
    </row>
    <row r="21" spans="2:19" x14ac:dyDescent="0.35">
      <c r="B21" t="e">
        <f t="shared" ca="1" si="1"/>
        <v>#NAME?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e" cm="1">
        <f t="array" aca="1" ref="P21" ca="1">"["&amp;_xlfn.TEXTJOIN(",",FALSE,IF(ISTEXT(D21:O21),""""&amp;D21:O21&amp;"""",IF(D21:O21="",0,D21:O21)))&amp;"],"</f>
        <v>#NAME?</v>
      </c>
      <c r="S21" t="str">
        <f t="shared" si="3"/>
        <v xml:space="preserve"> * @property {number} fusion</v>
      </c>
    </row>
    <row r="22" spans="2:19" x14ac:dyDescent="0.35">
      <c r="B22" t="e">
        <f t="shared" ca="1" si="1"/>
        <v>#NAME?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e" cm="1">
        <f t="array" aca="1" ref="P22" ca="1">"["&amp;_xlfn.TEXTJOIN(",",FALSE,IF(ISTEXT(D22:O22),""""&amp;D22:O22&amp;"""",IF(D22:O22="",0,D22:O22)))&amp;"],"</f>
        <v>#NAME?</v>
      </c>
      <c r="S22" t="str">
        <f t="shared" si="3"/>
        <v xml:space="preserve"> * @property {number} alloy</v>
      </c>
    </row>
    <row r="23" spans="2:19" x14ac:dyDescent="0.35">
      <c r="B23" t="e">
        <f t="shared" ca="1" si="1"/>
        <v>#NAME?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e" cm="1">
        <f t="array" aca="1" ref="P23" ca="1">"["&amp;_xlfn.TEXTJOIN(",",FALSE,IF(ISTEXT(D23:O23),""""&amp;D23:O23&amp;"""",IF(D23:O23="",0,D23:O23)))&amp;"],"</f>
        <v>#NAME?</v>
      </c>
      <c r="S23" t="str">
        <f t="shared" si="3"/>
        <v xml:space="preserve"> * @property {number} research</v>
      </c>
    </row>
    <row r="24" spans="2:19" x14ac:dyDescent="0.35">
      <c r="B24">
        <f t="shared" si="1"/>
        <v>0</v>
      </c>
      <c r="C24" t="str">
        <f t="shared" si="2"/>
        <v/>
      </c>
    </row>
    <row r="25" spans="2:19" x14ac:dyDescent="0.35">
      <c r="B25">
        <f t="shared" si="1"/>
        <v>0</v>
      </c>
      <c r="C25" t="str">
        <f t="shared" si="2"/>
        <v/>
      </c>
    </row>
    <row r="26" spans="2:19" x14ac:dyDescent="0.35">
      <c r="B26">
        <f t="shared" si="1"/>
        <v>0</v>
      </c>
      <c r="C26" t="str">
        <f t="shared" si="2"/>
        <v/>
      </c>
    </row>
    <row r="27" spans="2:19" x14ac:dyDescent="0.35">
      <c r="B27">
        <f t="shared" si="1"/>
        <v>0</v>
      </c>
      <c r="C27" t="str">
        <f t="shared" si="2"/>
        <v/>
      </c>
    </row>
    <row r="28" spans="2:19" x14ac:dyDescent="0.35">
      <c r="B28">
        <f t="shared" si="1"/>
        <v>0</v>
      </c>
      <c r="C28" t="str">
        <f t="shared" si="2"/>
        <v/>
      </c>
    </row>
    <row r="29" spans="2:19" x14ac:dyDescent="0.35">
      <c r="B29">
        <f t="shared" si="1"/>
        <v>0</v>
      </c>
      <c r="C29" t="str">
        <f t="shared" si="2"/>
        <v/>
      </c>
    </row>
    <row r="30" spans="2:19" x14ac:dyDescent="0.35">
      <c r="B30">
        <f t="shared" si="1"/>
        <v>0</v>
      </c>
      <c r="C30" t="str">
        <f t="shared" si="2"/>
        <v/>
      </c>
    </row>
    <row r="31" spans="2:19" x14ac:dyDescent="0.35">
      <c r="B31">
        <f t="shared" si="1"/>
        <v>0</v>
      </c>
      <c r="C31" t="str">
        <f t="shared" si="2"/>
        <v/>
      </c>
    </row>
  </sheetData>
  <conditionalFormatting sqref="E2:AB2">
    <cfRule type="duplicateValues" dxfId="27" priority="3"/>
  </conditionalFormatting>
  <conditionalFormatting sqref="C4:C31">
    <cfRule type="duplicateValues" dxfId="26" priority="4"/>
  </conditionalFormatting>
  <conditionalFormatting sqref="D1:D1048576">
    <cfRule type="duplicateValues" dxfId="25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2026-04-26T06:24:57Z</dcterms:modified>
</cp:coreProperties>
</file>