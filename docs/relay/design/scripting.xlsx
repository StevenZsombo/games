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js\games\docs\relay\design\"/>
    </mc:Choice>
  </mc:AlternateContent>
  <xr:revisionPtr revIDLastSave="0" documentId="13_ncr:1_{CC73DFB3-A9CD-4EE6-A081-DCF47947ECC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1" l="1" a="1"/>
  <c r="P15" i="1" s="1"/>
  <c r="P16" i="1" a="1"/>
  <c r="P16" i="1" s="1"/>
  <c r="P17" i="1" a="1"/>
  <c r="P17" i="1" s="1"/>
  <c r="P18" i="1" a="1"/>
  <c r="P18" i="1" s="1"/>
  <c r="C16" i="1"/>
  <c r="S16" i="1"/>
  <c r="C15" i="1"/>
  <c r="S15" i="1"/>
  <c r="S6" i="1"/>
  <c r="S7" i="1"/>
  <c r="S8" i="1"/>
  <c r="S9" i="1"/>
  <c r="S10" i="1"/>
  <c r="S11" i="1"/>
  <c r="S12" i="1"/>
  <c r="S13" i="1"/>
  <c r="S14" i="1"/>
  <c r="S17" i="1"/>
  <c r="S18" i="1"/>
  <c r="S19" i="1"/>
  <c r="S20" i="1"/>
  <c r="S21" i="1"/>
  <c r="S22" i="1"/>
  <c r="S23" i="1"/>
  <c r="S5" i="1"/>
  <c r="P4" i="1" a="1"/>
  <c r="P4" i="1" s="1"/>
  <c r="P5" i="1" a="1"/>
  <c r="P5" i="1" s="1"/>
  <c r="P6" i="1" a="1"/>
  <c r="P6" i="1" s="1"/>
  <c r="P7" i="1" a="1"/>
  <c r="P7" i="1" s="1"/>
  <c r="B7" i="1" s="1"/>
  <c r="P8" i="1" a="1"/>
  <c r="P8" i="1" s="1"/>
  <c r="P9" i="1" a="1"/>
  <c r="P9" i="1" s="1"/>
  <c r="P10" i="1" a="1"/>
  <c r="P10" i="1" s="1"/>
  <c r="P11" i="1" a="1"/>
  <c r="P11" i="1" s="1"/>
  <c r="P12" i="1" a="1"/>
  <c r="P12" i="1" s="1"/>
  <c r="P13" i="1" a="1"/>
  <c r="P13" i="1" s="1"/>
  <c r="P14" i="1" a="1"/>
  <c r="P14" i="1" s="1"/>
  <c r="P19" i="1" a="1"/>
  <c r="P19" i="1" s="1"/>
  <c r="P20" i="1" a="1"/>
  <c r="P20" i="1" s="1"/>
  <c r="P21" i="1" a="1"/>
  <c r="P21" i="1" s="1"/>
  <c r="P22" i="1" a="1"/>
  <c r="P22" i="1" s="1"/>
  <c r="P23" i="1" a="1"/>
  <c r="P23" i="1" s="1"/>
  <c r="P3" i="1" a="1"/>
  <c r="P3" i="1" s="1"/>
  <c r="C14" i="1"/>
  <c r="C24" i="1"/>
  <c r="C25" i="1"/>
  <c r="C26" i="1"/>
  <c r="C27" i="1"/>
  <c r="C28" i="1"/>
  <c r="C29" i="1"/>
  <c r="C30" i="1"/>
  <c r="C31" i="1"/>
  <c r="B24" i="1"/>
  <c r="B25" i="1"/>
  <c r="B26" i="1"/>
  <c r="B27" i="1"/>
  <c r="B28" i="1"/>
  <c r="B29" i="1"/>
  <c r="B30" i="1"/>
  <c r="B31" i="1"/>
  <c r="Z2" i="1"/>
  <c r="Y2" i="1"/>
  <c r="X2" i="1"/>
  <c r="W2" i="1"/>
  <c r="V2" i="1"/>
  <c r="U2" i="1"/>
  <c r="T2" i="1"/>
  <c r="S2" i="1"/>
  <c r="R2" i="1"/>
  <c r="O2" i="1"/>
  <c r="N2" i="1"/>
  <c r="M2" i="1"/>
  <c r="L2" i="1"/>
  <c r="K2" i="1"/>
  <c r="J2" i="1"/>
  <c r="I2" i="1"/>
  <c r="C23" i="1"/>
  <c r="C22" i="1"/>
  <c r="C21" i="1"/>
  <c r="C20" i="1"/>
  <c r="C19" i="1"/>
  <c r="C18" i="1"/>
  <c r="C17" i="1"/>
  <c r="C13" i="1"/>
  <c r="C12" i="1"/>
  <c r="C11" i="1"/>
  <c r="C10" i="1"/>
  <c r="C9" i="1"/>
  <c r="C8" i="1"/>
  <c r="C7" i="1"/>
  <c r="C6" i="1"/>
  <c r="C5" i="1"/>
  <c r="C4" i="1"/>
  <c r="B4" i="1" l="1"/>
  <c r="B5" i="1"/>
  <c r="B6" i="1"/>
  <c r="B8" i="1"/>
  <c r="B9" i="1"/>
  <c r="B10" i="1"/>
  <c r="B11" i="1"/>
  <c r="B12" i="1"/>
  <c r="B13" i="1"/>
  <c r="B17" i="1"/>
  <c r="B18" i="1"/>
  <c r="B19" i="1"/>
  <c r="B20" i="1"/>
  <c r="B21" i="1"/>
  <c r="B22" i="1"/>
  <c r="B2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<sst xmlns="http://schemas.openxmlformats.org/spreadsheetml/2006/main" count="112" uniqueCount="74">
  <si>
    <t>firstletter</t>
  </si>
  <si>
    <t>reactor</t>
  </si>
  <si>
    <t>energy</t>
  </si>
  <si>
    <t>water</t>
  </si>
  <si>
    <t>food</t>
  </si>
  <si>
    <t>hydroponics</t>
  </si>
  <si>
    <t>comms</t>
  </si>
  <si>
    <t>question</t>
  </si>
  <si>
    <t>Terminal</t>
  </si>
  <si>
    <t>parts</t>
  </si>
  <si>
    <t>water recycler</t>
  </si>
  <si>
    <t>cargo bay</t>
  </si>
  <si>
    <t>comms array</t>
  </si>
  <si>
    <t>fabricator</t>
  </si>
  <si>
    <t>research lab</t>
  </si>
  <si>
    <t>medical bay</t>
  </si>
  <si>
    <t>life support</t>
  </si>
  <si>
    <t>machine shop</t>
  </si>
  <si>
    <t>delay</t>
  </si>
  <si>
    <t>VALUE</t>
  </si>
  <si>
    <t>questions</t>
  </si>
  <si>
    <t>solar array</t>
  </si>
  <si>
    <t>titanium</t>
  </si>
  <si>
    <t>alloy</t>
  </si>
  <si>
    <t>cell</t>
  </si>
  <si>
    <t>mining station</t>
  </si>
  <si>
    <t>scrapyard</t>
  </si>
  <si>
    <t>data vault</t>
  </si>
  <si>
    <t>supply depot</t>
  </si>
  <si>
    <t>fusion core</t>
  </si>
  <si>
    <t>alloy plant</t>
  </si>
  <si>
    <t>metals</t>
  </si>
  <si>
    <t>JOINED</t>
  </si>
  <si>
    <t>terminal</t>
  </si>
  <si>
    <t>pretty</t>
  </si>
  <si>
    <t>action</t>
  </si>
  <si>
    <t>Reactor</t>
  </si>
  <si>
    <t>Hydroponics</t>
  </si>
  <si>
    <t>Fabricator</t>
  </si>
  <si>
    <t>Scrapyard</t>
  </si>
  <si>
    <t>Solar Array</t>
  </si>
  <si>
    <t>Water recycler</t>
  </si>
  <si>
    <t>Cargo bay</t>
  </si>
  <si>
    <t>Comms array</t>
  </si>
  <si>
    <t>Medical bay</t>
  </si>
  <si>
    <t>Life support</t>
  </si>
  <si>
    <t>Machine shop</t>
  </si>
  <si>
    <t>Shuttle bay</t>
  </si>
  <si>
    <t>Mining station</t>
  </si>
  <si>
    <t>Data vault</t>
  </si>
  <si>
    <t>Supply depot</t>
  </si>
  <si>
    <t>Fusion core</t>
  </si>
  <si>
    <t>Alloy plant</t>
  </si>
  <si>
    <t>Research lab</t>
  </si>
  <si>
    <t>CAPTURE</t>
  </si>
  <si>
    <t>USE</t>
  </si>
  <si>
    <t>REPAIR</t>
  </si>
  <si>
    <t>Upgrade center</t>
  </si>
  <si>
    <t>ACCESS KEY NEEDED</t>
  </si>
  <si>
    <t>hydro</t>
  </si>
  <si>
    <t>cargo</t>
  </si>
  <si>
    <t>med</t>
  </si>
  <si>
    <t>life</t>
  </si>
  <si>
    <t>machine</t>
  </si>
  <si>
    <t>shuttle</t>
  </si>
  <si>
    <t>door</t>
  </si>
  <si>
    <t>mining</t>
  </si>
  <si>
    <t>data</t>
  </si>
  <si>
    <t>supply</t>
  </si>
  <si>
    <t>fusion</t>
  </si>
  <si>
    <t>research</t>
  </si>
  <si>
    <t>solar</t>
  </si>
  <si>
    <t>access</t>
  </si>
  <si>
    <t>fab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</si>
</sst>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5"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Z31"/>
  <sheetViews>
    <sheetView tabSelected="1" workbookViewId="0">
      <selection activeCell="D7" sqref="D7"/>
    </sheetView>
  </sheetViews>
  <sheetFormatPr defaultRowHeight="14.4" x14ac:dyDescent="0.3"/>
  <cols>
    <col min="4" max="4" width="13" customWidth="1"/>
    <col min="5" max="6" width="7.33203125" customWidth="1"/>
    <col min="7" max="7" width="14.33203125" customWidth="1"/>
    <col min="8" max="8" width="11.5546875" customWidth="1"/>
  </cols>
  <sheetData>
    <row r="2" spans="2:26" x14ac:dyDescent="0.3">
      <c r="D2" t="s">
        <v>0</v>
      </c>
      <c r="I2" t="str">
        <f>LEFT(I3,1)</f>
        <v>e</v>
      </c>
      <c r="J2" t="str">
        <f t="shared" ref="J2:Z2" si="0">LEFT(J3,1)</f>
        <v>f</v>
      </c>
      <c r="K2" t="str">
        <f t="shared" si="0"/>
        <v>w</v>
      </c>
      <c r="L2" t="str">
        <f t="shared" si="0"/>
        <v>p</v>
      </c>
      <c r="M2" t="str">
        <f t="shared" si="0"/>
        <v>m</v>
      </c>
      <c r="N2" t="str">
        <f t="shared" si="0"/>
        <v>t</v>
      </c>
      <c r="O2" t="str">
        <f t="shared" si="0"/>
        <v>a</v>
      </c>
      <c r="P2" t="s">
        <v>32</v>
      </c>
      <c r="R2" t="str">
        <f t="shared" si="0"/>
        <v/>
      </c>
      <c r="S2" t="str">
        <f t="shared" si="0"/>
        <v/>
      </c>
      <c r="T2" t="str">
        <f t="shared" si="0"/>
        <v/>
      </c>
      <c r="U2" t="str">
        <f t="shared" si="0"/>
        <v/>
      </c>
      <c r="V2" t="str">
        <f t="shared" si="0"/>
        <v/>
      </c>
      <c r="W2" t="str">
        <f t="shared" si="0"/>
        <v/>
      </c>
      <c r="X2" t="str">
        <f t="shared" si="0"/>
        <v/>
      </c>
      <c r="Y2" t="str">
        <f t="shared" si="0"/>
        <v/>
      </c>
      <c r="Z2" t="str">
        <f t="shared" si="0"/>
        <v/>
      </c>
    </row>
    <row r="3" spans="2:26" x14ac:dyDescent="0.3">
      <c r="B3" t="s">
        <v>19</v>
      </c>
      <c r="C3" t="s">
        <v>0</v>
      </c>
      <c r="D3" t="s">
        <v>33</v>
      </c>
      <c r="E3" t="s">
        <v>18</v>
      </c>
      <c r="F3" t="s">
        <v>7</v>
      </c>
      <c r="G3" t="s">
        <v>34</v>
      </c>
      <c r="H3" t="s">
        <v>35</v>
      </c>
      <c r="I3" t="s">
        <v>2</v>
      </c>
      <c r="J3" t="s">
        <v>4</v>
      </c>
      <c r="K3" t="s">
        <v>3</v>
      </c>
      <c r="L3" t="s">
        <v>9</v>
      </c>
      <c r="M3" t="s">
        <v>31</v>
      </c>
      <c r="N3" t="s">
        <v>22</v>
      </c>
      <c r="O3" t="s">
        <v>23</v>
      </c>
      <c r="P3" t="str" cm="1">
        <f t="array" ref="P3">"["&amp;_xlfn.TEXTJOIN(",",FALSE,IF(ISTEXT(D3:O3),""""&amp;D3:O3&amp;"""",IF(D3:O3="",0,D3:O3)))&amp;"],"</f>
        <v>["terminal","delay","question","pretty","action","energy","food","water","parts","metals","titanium","alloy"],</v>
      </c>
    </row>
    <row r="4" spans="2:26" x14ac:dyDescent="0.3">
      <c r="B4">
        <f>SUM(E4:AA4)</f>
        <v>55</v>
      </c>
      <c r="C4" t="str">
        <f>LEFT(D4,1)</f>
        <v>r</v>
      </c>
      <c r="D4" s="1" t="s">
        <v>1</v>
      </c>
      <c r="E4">
        <v>15</v>
      </c>
      <c r="F4">
        <v>0</v>
      </c>
      <c r="G4" t="s">
        <v>36</v>
      </c>
      <c r="H4" t="s">
        <v>56</v>
      </c>
      <c r="I4">
        <v>40</v>
      </c>
      <c r="P4" t="str" cm="1">
        <f t="array" ref="P4">"["&amp;_xlfn.TEXTJOIN(",",FALSE,IF(ISTEXT(D4:O4),""""&amp;D4:O4&amp;"""",IF(D4:O4="",0,D4:O4)))&amp;"],"</f>
        <v>["reactor",15,0,"Reactor","REPAIR",40,0,0,0,0,0,0],</v>
      </c>
    </row>
    <row r="5" spans="2:26" x14ac:dyDescent="0.3">
      <c r="B5">
        <f t="shared" ref="B5:B31" si="1">SUM(E5:AA5)</f>
        <v>55</v>
      </c>
      <c r="C5" t="str">
        <f t="shared" ref="C5:C31" si="2">LEFT(D5,1)</f>
        <v>s</v>
      </c>
      <c r="D5" s="1" t="s">
        <v>71</v>
      </c>
      <c r="E5">
        <v>20</v>
      </c>
      <c r="F5">
        <v>10</v>
      </c>
      <c r="G5" t="s">
        <v>40</v>
      </c>
      <c r="H5" t="s">
        <v>56</v>
      </c>
      <c r="I5">
        <v>25</v>
      </c>
      <c r="P5" t="str" cm="1">
        <f t="array" ref="P5">"["&amp;_xlfn.TEXTJOIN(",",FALSE,IF(ISTEXT(D5:O5),""""&amp;D5:O5&amp;"""",IF(D5:O5="",0,D5:O5)))&amp;"],"</f>
        <v>["solar",20,10,"Solar Array","REPAIR",25,0,0,0,0,0,0],</v>
      </c>
      <c r="S5" t="str">
        <f>" * @property {number} "&amp;D5</f>
        <v xml:space="preserve"> * @property {number} solar</v>
      </c>
    </row>
    <row r="6" spans="2:26" x14ac:dyDescent="0.3">
      <c r="B6">
        <f t="shared" si="1"/>
        <v>57</v>
      </c>
      <c r="C6" t="str">
        <f t="shared" si="2"/>
        <v>h</v>
      </c>
      <c r="D6" s="1" t="s">
        <v>59</v>
      </c>
      <c r="E6">
        <v>12</v>
      </c>
      <c r="F6">
        <v>20</v>
      </c>
      <c r="G6" t="s">
        <v>37</v>
      </c>
      <c r="H6" t="s">
        <v>56</v>
      </c>
      <c r="J6">
        <v>15</v>
      </c>
      <c r="K6">
        <v>10</v>
      </c>
      <c r="P6" t="str" cm="1">
        <f t="array" ref="P6">"["&amp;_xlfn.TEXTJOIN(",",FALSE,IF(ISTEXT(D6:O6),""""&amp;D6:O6&amp;"""",IF(D6:O6="",0,D6:O6)))&amp;"],"</f>
        <v>["hydro",12,20,"Hydroponics","REPAIR",0,15,10,0,0,0,0],</v>
      </c>
      <c r="S6" t="str">
        <f t="shared" ref="S6:S23" si="3">" * @property {number} "&amp;D6</f>
        <v xml:space="preserve"> * @property {number} hydro</v>
      </c>
    </row>
    <row r="7" spans="2:26" x14ac:dyDescent="0.3">
      <c r="B7">
        <f t="shared" si="1"/>
        <v>55</v>
      </c>
      <c r="C7" t="str">
        <f t="shared" si="2"/>
        <v>w</v>
      </c>
      <c r="D7" s="1" t="s">
        <v>3</v>
      </c>
      <c r="E7">
        <v>10</v>
      </c>
      <c r="F7">
        <v>20</v>
      </c>
      <c r="G7" t="s">
        <v>41</v>
      </c>
      <c r="H7" t="s">
        <v>56</v>
      </c>
      <c r="K7">
        <v>25</v>
      </c>
      <c r="P7" t="str" cm="1">
        <f t="array" ref="P7">"["&amp;_xlfn.TEXTJOIN(",",FALSE,IF(ISTEXT(D7:O7),""""&amp;D7:O7&amp;"""",IF(D7:O7="",0,D7:O7)))&amp;"],"</f>
        <v>["water",10,20,"Water recycler","REPAIR",0,0,25,0,0,0,0],</v>
      </c>
      <c r="S7" t="str">
        <f t="shared" si="3"/>
        <v xml:space="preserve"> * @property {number} water</v>
      </c>
    </row>
    <row r="8" spans="2:26" x14ac:dyDescent="0.3">
      <c r="B8">
        <f t="shared" si="1"/>
        <v>48</v>
      </c>
      <c r="C8" t="str">
        <f t="shared" si="2"/>
        <v>c</v>
      </c>
      <c r="D8" s="1" t="s">
        <v>60</v>
      </c>
      <c r="E8">
        <v>8</v>
      </c>
      <c r="F8">
        <v>20</v>
      </c>
      <c r="G8" t="s">
        <v>42</v>
      </c>
      <c r="H8" t="s">
        <v>56</v>
      </c>
      <c r="J8">
        <v>10</v>
      </c>
      <c r="L8">
        <v>10</v>
      </c>
      <c r="P8" t="str" cm="1">
        <f t="array" ref="P8">"["&amp;_xlfn.TEXTJOIN(",",FALSE,IF(ISTEXT(D8:O8),""""&amp;D8:O8&amp;"""",IF(D8:O8="",0,D8:O8)))&amp;"],"</f>
        <v>["cargo",8,20,"Cargo bay","REPAIR",0,10,0,10,0,0,0],</v>
      </c>
      <c r="S8" t="str">
        <f t="shared" si="3"/>
        <v xml:space="preserve"> * @property {number} cargo</v>
      </c>
    </row>
    <row r="9" spans="2:26" x14ac:dyDescent="0.3">
      <c r="B9">
        <f t="shared" si="1"/>
        <v>92</v>
      </c>
      <c r="C9" t="str">
        <f t="shared" si="2"/>
        <v>c</v>
      </c>
      <c r="D9" s="1" t="s">
        <v>6</v>
      </c>
      <c r="E9">
        <v>12</v>
      </c>
      <c r="F9">
        <v>50</v>
      </c>
      <c r="G9" t="s">
        <v>43</v>
      </c>
      <c r="H9" t="s">
        <v>56</v>
      </c>
      <c r="L9">
        <v>30</v>
      </c>
      <c r="P9" t="str" cm="1">
        <f t="array" ref="P9">"["&amp;_xlfn.TEXTJOIN(",",FALSE,IF(ISTEXT(D9:O9),""""&amp;D9:O9&amp;"""",IF(D9:O9="",0,D9:O9)))&amp;"],"</f>
        <v>["comms",12,50,"Comms array","REPAIR",0,0,0,30,0,0,0],</v>
      </c>
      <c r="S9" t="str">
        <f t="shared" si="3"/>
        <v xml:space="preserve"> * @property {number} comms</v>
      </c>
    </row>
    <row r="10" spans="2:26" x14ac:dyDescent="0.3">
      <c r="B10">
        <f t="shared" si="1"/>
        <v>95</v>
      </c>
      <c r="C10" t="str">
        <f t="shared" si="2"/>
        <v>f</v>
      </c>
      <c r="D10" s="1" t="s">
        <v>73</v>
      </c>
      <c r="E10">
        <v>10</v>
      </c>
      <c r="F10">
        <v>60</v>
      </c>
      <c r="G10" t="s">
        <v>38</v>
      </c>
      <c r="H10" t="s">
        <v>56</v>
      </c>
      <c r="K10">
        <v>20</v>
      </c>
      <c r="L10">
        <v>5</v>
      </c>
      <c r="P10" t="str" cm="1">
        <f t="array" ref="P10">"["&amp;_xlfn.TEXTJOIN(",",FALSE,IF(ISTEXT(D10:O10),""""&amp;D10:O10&amp;"""",IF(D10:O10="",0,D10:O10)))&amp;"],"</f>
        <v>["fab",10,60,"Fabricator","REPAIR",0,0,20,5,0,0,0],</v>
      </c>
      <c r="S10" t="str">
        <f t="shared" si="3"/>
        <v xml:space="preserve"> * @property {number} fab</v>
      </c>
    </row>
    <row r="11" spans="2:26" x14ac:dyDescent="0.3">
      <c r="B11">
        <f t="shared" si="1"/>
        <v>50</v>
      </c>
      <c r="C11" t="str">
        <f t="shared" si="2"/>
        <v>m</v>
      </c>
      <c r="D11" s="1" t="s">
        <v>61</v>
      </c>
      <c r="E11">
        <v>10</v>
      </c>
      <c r="F11">
        <v>30</v>
      </c>
      <c r="G11" t="s">
        <v>44</v>
      </c>
      <c r="H11" t="s">
        <v>56</v>
      </c>
      <c r="L11">
        <v>10</v>
      </c>
      <c r="P11" t="str" cm="1">
        <f t="array" ref="P11">"["&amp;_xlfn.TEXTJOIN(",",FALSE,IF(ISTEXT(D11:O11),""""&amp;D11:O11&amp;"""",IF(D11:O11="",0,D11:O11)))&amp;"],"</f>
        <v>["med",10,30,"Medical bay","REPAIR",0,0,0,10,0,0,0],</v>
      </c>
      <c r="S11" t="str">
        <f t="shared" si="3"/>
        <v xml:space="preserve"> * @property {number} med</v>
      </c>
    </row>
    <row r="12" spans="2:26" x14ac:dyDescent="0.3">
      <c r="B12">
        <f t="shared" si="1"/>
        <v>55</v>
      </c>
      <c r="C12" t="str">
        <f t="shared" si="2"/>
        <v>l</v>
      </c>
      <c r="D12" s="1" t="s">
        <v>62</v>
      </c>
      <c r="E12">
        <v>20</v>
      </c>
      <c r="F12">
        <v>10</v>
      </c>
      <c r="G12" t="s">
        <v>45</v>
      </c>
      <c r="H12" t="s">
        <v>56</v>
      </c>
      <c r="J12">
        <v>10</v>
      </c>
      <c r="K12">
        <v>15</v>
      </c>
      <c r="P12" t="str" cm="1">
        <f t="array" ref="P12">"["&amp;_xlfn.TEXTJOIN(",",FALSE,IF(ISTEXT(D12:O12),""""&amp;D12:O12&amp;"""",IF(D12:O12="",0,D12:O12)))&amp;"],"</f>
        <v>["life",20,10,"Life support","REPAIR",0,10,15,0,0,0,0],</v>
      </c>
      <c r="S12" t="str">
        <f t="shared" si="3"/>
        <v xml:space="preserve"> * @property {number} life</v>
      </c>
    </row>
    <row r="13" spans="2:26" x14ac:dyDescent="0.3">
      <c r="B13">
        <f t="shared" si="1"/>
        <v>87</v>
      </c>
      <c r="C13" t="str">
        <f t="shared" si="2"/>
        <v>m</v>
      </c>
      <c r="D13" s="1" t="s">
        <v>63</v>
      </c>
      <c r="E13">
        <v>12</v>
      </c>
      <c r="F13">
        <v>50</v>
      </c>
      <c r="G13" t="s">
        <v>46</v>
      </c>
      <c r="H13" t="s">
        <v>56</v>
      </c>
      <c r="K13">
        <v>25</v>
      </c>
      <c r="P13" t="str" cm="1">
        <f t="array" ref="P13">"["&amp;_xlfn.TEXTJOIN(",",FALSE,IF(ISTEXT(D13:O13),""""&amp;D13:O13&amp;"""",IF(D13:O13="",0,D13:O13)))&amp;"],"</f>
        <v>["machine",12,50,"Machine shop","REPAIR",0,0,25,0,0,0,0],</v>
      </c>
      <c r="S13" t="str">
        <f t="shared" si="3"/>
        <v xml:space="preserve"> * @property {number} machine</v>
      </c>
    </row>
    <row r="14" spans="2:26" x14ac:dyDescent="0.3">
      <c r="C14" t="str">
        <f t="shared" si="2"/>
        <v>s</v>
      </c>
      <c r="D14" s="1" t="s">
        <v>64</v>
      </c>
      <c r="G14" t="s">
        <v>47</v>
      </c>
      <c r="H14" t="s">
        <v>55</v>
      </c>
      <c r="P14" t="str" cm="1">
        <f t="array" ref="P14">"["&amp;_xlfn.TEXTJOIN(",",FALSE,IF(ISTEXT(D14:O14),""""&amp;D14:O14&amp;"""",IF(D14:O14="",0,D14:O14)))&amp;"],"</f>
        <v>["shuttle",0,0,"Shuttle bay","USE",0,0,0,0,0,0,0],</v>
      </c>
      <c r="S14" t="str">
        <f t="shared" si="3"/>
        <v xml:space="preserve"> * @property {number} shuttle</v>
      </c>
    </row>
    <row r="15" spans="2:26" x14ac:dyDescent="0.3">
      <c r="C15" t="str">
        <f t="shared" si="2"/>
        <v>a</v>
      </c>
      <c r="D15" s="1" t="s">
        <v>72</v>
      </c>
      <c r="G15" t="s">
        <v>57</v>
      </c>
      <c r="H15" t="s">
        <v>55</v>
      </c>
      <c r="P15" t="str" cm="1">
        <f t="array" ref="P15">"["&amp;_xlfn.TEXTJOIN(",",FALSE,IF(ISTEXT(D15:O15),""""&amp;D15:O15&amp;"""",IF(D15:O15="",0,D15:O15)))&amp;"],"</f>
        <v>["access",0,0,"Upgrade center","USE",0,0,0,0,0,0,0],</v>
      </c>
      <c r="S15" t="str">
        <f t="shared" si="3"/>
        <v xml:space="preserve"> * @property {number} access</v>
      </c>
    </row>
    <row r="16" spans="2:26" x14ac:dyDescent="0.3">
      <c r="C16" t="str">
        <f t="shared" si="2"/>
        <v>d</v>
      </c>
      <c r="D16" s="1" t="s">
        <v>65</v>
      </c>
      <c r="G16" t="s">
        <v>58</v>
      </c>
      <c r="H16" t="s">
        <v>55</v>
      </c>
      <c r="P16" t="str" cm="1">
        <f t="array" ref="P16">"["&amp;_xlfn.TEXTJOIN(",",FALSE,IF(ISTEXT(D16:O16),""""&amp;D16:O16&amp;"""",IF(D16:O16="",0,D16:O16)))&amp;"],"</f>
        <v>["door",0,0,"ACCESS KEY NEEDED","USE",0,0,0,0,0,0,0],</v>
      </c>
      <c r="S16" t="str">
        <f t="shared" si="3"/>
        <v xml:space="preserve"> * @property {number} door</v>
      </c>
    </row>
    <row r="17" spans="2:19" x14ac:dyDescent="0.3">
      <c r="B17">
        <f t="shared" si="1"/>
        <v>100</v>
      </c>
      <c r="C17" t="str">
        <f t="shared" si="2"/>
        <v>m</v>
      </c>
      <c r="D17" s="1" t="s">
        <v>66</v>
      </c>
      <c r="E17">
        <v>15</v>
      </c>
      <c r="F17">
        <v>60</v>
      </c>
      <c r="G17" t="s">
        <v>48</v>
      </c>
      <c r="H17" t="s">
        <v>54</v>
      </c>
      <c r="I17">
        <v>10</v>
      </c>
      <c r="M17">
        <v>10</v>
      </c>
      <c r="N17">
        <v>5</v>
      </c>
      <c r="P17" t="str" cm="1">
        <f t="array" ref="P17">"["&amp;_xlfn.TEXTJOIN(",",FALSE,IF(ISTEXT(D17:O17),""""&amp;D17:O17&amp;"""",IF(D17:O17="",0,D17:O17)))&amp;"],"</f>
        <v>["mining",15,60,"Mining station","CAPTURE",10,0,0,0,10,5,0],</v>
      </c>
      <c r="S17" t="str">
        <f t="shared" si="3"/>
        <v xml:space="preserve"> * @property {number} mining</v>
      </c>
    </row>
    <row r="18" spans="2:19" x14ac:dyDescent="0.3">
      <c r="B18">
        <f t="shared" si="1"/>
        <v>75</v>
      </c>
      <c r="C18" t="str">
        <f t="shared" si="2"/>
        <v>s</v>
      </c>
      <c r="D18" s="1" t="s">
        <v>26</v>
      </c>
      <c r="E18">
        <v>10</v>
      </c>
      <c r="F18">
        <v>40</v>
      </c>
      <c r="G18" t="s">
        <v>39</v>
      </c>
      <c r="H18" t="s">
        <v>54</v>
      </c>
      <c r="L18">
        <v>15</v>
      </c>
      <c r="N18">
        <v>10</v>
      </c>
      <c r="P18" t="str" cm="1">
        <f t="array" ref="P18">"["&amp;_xlfn.TEXTJOIN(",",FALSE,IF(ISTEXT(D18:O18),""""&amp;D18:O18&amp;"""",IF(D18:O18="",0,D18:O18)))&amp;"],"</f>
        <v>["scrapyard",10,40,"Scrapyard","CAPTURE",0,0,0,15,0,10,0],</v>
      </c>
      <c r="S18" t="str">
        <f t="shared" si="3"/>
        <v xml:space="preserve"> * @property {number} scrapyard</v>
      </c>
    </row>
    <row r="19" spans="2:19" x14ac:dyDescent="0.3">
      <c r="B19">
        <f t="shared" si="1"/>
        <v>127</v>
      </c>
      <c r="C19" t="str">
        <f t="shared" si="2"/>
        <v>d</v>
      </c>
      <c r="D19" s="1" t="s">
        <v>67</v>
      </c>
      <c r="E19">
        <v>12</v>
      </c>
      <c r="F19">
        <v>70</v>
      </c>
      <c r="G19" t="s">
        <v>49</v>
      </c>
      <c r="H19" t="s">
        <v>54</v>
      </c>
      <c r="L19">
        <v>30</v>
      </c>
      <c r="M19">
        <v>5</v>
      </c>
      <c r="N19">
        <v>5</v>
      </c>
      <c r="O19">
        <v>5</v>
      </c>
      <c r="P19" t="str" cm="1">
        <f t="array" ref="P19">"["&amp;_xlfn.TEXTJOIN(",",FALSE,IF(ISTEXT(D19:O19),""""&amp;D19:O19&amp;"""",IF(D19:O19="",0,D19:O19)))&amp;"],"</f>
        <v>["data",12,70,"Data vault","CAPTURE",0,0,0,30,5,5,5],</v>
      </c>
      <c r="S19" t="str">
        <f t="shared" si="3"/>
        <v xml:space="preserve"> * @property {number} data</v>
      </c>
    </row>
    <row r="20" spans="2:19" x14ac:dyDescent="0.3">
      <c r="B20">
        <f t="shared" si="1"/>
        <v>125</v>
      </c>
      <c r="C20" t="str">
        <f t="shared" si="2"/>
        <v>s</v>
      </c>
      <c r="D20" s="1" t="s">
        <v>68</v>
      </c>
      <c r="E20">
        <v>15</v>
      </c>
      <c r="F20">
        <v>80</v>
      </c>
      <c r="G20" t="s">
        <v>50</v>
      </c>
      <c r="H20" t="s">
        <v>54</v>
      </c>
      <c r="K20">
        <v>15</v>
      </c>
      <c r="M20">
        <v>10</v>
      </c>
      <c r="O20">
        <v>5</v>
      </c>
      <c r="P20" t="str" cm="1">
        <f t="array" ref="P20">"["&amp;_xlfn.TEXTJOIN(",",FALSE,IF(ISTEXT(D20:O20),""""&amp;D20:O20&amp;"""",IF(D20:O20="",0,D20:O20)))&amp;"],"</f>
        <v>["supply",15,80,"Supply depot","CAPTURE",0,0,15,0,10,0,5],</v>
      </c>
      <c r="S20" t="str">
        <f t="shared" si="3"/>
        <v xml:space="preserve"> * @property {number} supply</v>
      </c>
    </row>
    <row r="21" spans="2:19" x14ac:dyDescent="0.3">
      <c r="B21">
        <f t="shared" si="1"/>
        <v>140</v>
      </c>
      <c r="C21" t="str">
        <f t="shared" si="2"/>
        <v>f</v>
      </c>
      <c r="D21" s="1" t="s">
        <v>69</v>
      </c>
      <c r="E21">
        <v>10</v>
      </c>
      <c r="F21">
        <v>90</v>
      </c>
      <c r="G21" t="s">
        <v>51</v>
      </c>
      <c r="H21" t="s">
        <v>54</v>
      </c>
      <c r="I21">
        <v>20</v>
      </c>
      <c r="N21">
        <v>10</v>
      </c>
      <c r="O21">
        <v>10</v>
      </c>
      <c r="P21" t="str" cm="1">
        <f t="array" ref="P21">"["&amp;_xlfn.TEXTJOIN(",",FALSE,IF(ISTEXT(D21:O21),""""&amp;D21:O21&amp;"""",IF(D21:O21="",0,D21:O21)))&amp;"],"</f>
        <v>["fusion",10,90,"Fusion core","CAPTURE",20,0,0,0,0,10,10],</v>
      </c>
      <c r="S21" t="str">
        <f t="shared" si="3"/>
        <v xml:space="preserve"> * @property {number} fusion</v>
      </c>
    </row>
    <row r="22" spans="2:19" x14ac:dyDescent="0.3">
      <c r="B22">
        <f t="shared" si="1"/>
        <v>170</v>
      </c>
      <c r="C22" t="str">
        <f t="shared" si="2"/>
        <v>a</v>
      </c>
      <c r="D22" s="1" t="s">
        <v>23</v>
      </c>
      <c r="E22">
        <v>20</v>
      </c>
      <c r="F22">
        <v>100</v>
      </c>
      <c r="G22" t="s">
        <v>52</v>
      </c>
      <c r="H22" t="s">
        <v>54</v>
      </c>
      <c r="I22">
        <v>30</v>
      </c>
      <c r="M22">
        <v>20</v>
      </c>
      <c r="P22" t="str" cm="1">
        <f t="array" ref="P22">"["&amp;_xlfn.TEXTJOIN(",",FALSE,IF(ISTEXT(D22:O22),""""&amp;D22:O22&amp;"""",IF(D22:O22="",0,D22:O22)))&amp;"],"</f>
        <v>["alloy",20,100,"Alloy plant","CAPTURE",30,0,0,0,20,0,0],</v>
      </c>
      <c r="S22" t="str">
        <f t="shared" si="3"/>
        <v xml:space="preserve"> * @property {number} alloy</v>
      </c>
    </row>
    <row r="23" spans="2:19" x14ac:dyDescent="0.3">
      <c r="B23">
        <f t="shared" si="1"/>
        <v>127</v>
      </c>
      <c r="C23" t="str">
        <f t="shared" si="2"/>
        <v>r</v>
      </c>
      <c r="D23" s="1" t="s">
        <v>70</v>
      </c>
      <c r="E23">
        <v>12</v>
      </c>
      <c r="F23">
        <v>85</v>
      </c>
      <c r="G23" t="s">
        <v>53</v>
      </c>
      <c r="H23" t="s">
        <v>54</v>
      </c>
      <c r="I23">
        <v>10</v>
      </c>
      <c r="N23">
        <v>15</v>
      </c>
      <c r="O23">
        <v>5</v>
      </c>
      <c r="P23" t="str" cm="1">
        <f t="array" ref="P23">"["&amp;_xlfn.TEXTJOIN(",",FALSE,IF(ISTEXT(D23:O23),""""&amp;D23:O23&amp;"""",IF(D23:O23="",0,D23:O23)))&amp;"],"</f>
        <v>["research",12,85,"Research lab","CAPTURE",10,0,0,0,0,15,5],</v>
      </c>
      <c r="S23" t="str">
        <f t="shared" si="3"/>
        <v xml:space="preserve"> * @property {number} research</v>
      </c>
    </row>
    <row r="24" spans="2:19" x14ac:dyDescent="0.3">
      <c r="B24">
        <f t="shared" si="1"/>
        <v>0</v>
      </c>
      <c r="C24" t="str">
        <f t="shared" si="2"/>
        <v/>
      </c>
    </row>
    <row r="25" spans="2:19" x14ac:dyDescent="0.3">
      <c r="B25">
        <f t="shared" si="1"/>
        <v>0</v>
      </c>
      <c r="C25" t="str">
        <f t="shared" si="2"/>
        <v/>
      </c>
    </row>
    <row r="26" spans="2:19" x14ac:dyDescent="0.3">
      <c r="B26">
        <f t="shared" si="1"/>
        <v>0</v>
      </c>
      <c r="C26" t="str">
        <f t="shared" si="2"/>
        <v/>
      </c>
    </row>
    <row r="27" spans="2:19" x14ac:dyDescent="0.3">
      <c r="B27">
        <f t="shared" si="1"/>
        <v>0</v>
      </c>
      <c r="C27" t="str">
        <f t="shared" si="2"/>
        <v/>
      </c>
    </row>
    <row r="28" spans="2:19" x14ac:dyDescent="0.3">
      <c r="B28">
        <f t="shared" si="1"/>
        <v>0</v>
      </c>
      <c r="C28" t="str">
        <f t="shared" si="2"/>
        <v/>
      </c>
    </row>
    <row r="29" spans="2:19" x14ac:dyDescent="0.3">
      <c r="B29">
        <f t="shared" si="1"/>
        <v>0</v>
      </c>
      <c r="C29" t="str">
        <f t="shared" si="2"/>
        <v/>
      </c>
    </row>
    <row r="30" spans="2:19" x14ac:dyDescent="0.3">
      <c r="B30">
        <f t="shared" si="1"/>
        <v>0</v>
      </c>
      <c r="C30" t="str">
        <f t="shared" si="2"/>
        <v/>
      </c>
    </row>
    <row r="31" spans="2:19" x14ac:dyDescent="0.3">
      <c r="B31">
        <f t="shared" si="1"/>
        <v>0</v>
      </c>
      <c r="C31" t="str">
        <f t="shared" si="2"/>
        <v/>
      </c>
    </row>
  </sheetData>
  <conditionalFormatting sqref="E2:AB2">
    <cfRule type="duplicateValues" dxfId="4" priority="3"/>
  </conditionalFormatting>
  <conditionalFormatting sqref="C4:C31">
    <cfRule type="duplicateValues" dxfId="3" priority="4"/>
  </conditionalFormatting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E3167-3587-40D7-B120-D95141DEB2C8}">
  <dimension ref="A1:K21"/>
  <sheetViews>
    <sheetView workbookViewId="0">
      <selection activeCell="A3" sqref="A3:K21"/>
    </sheetView>
  </sheetViews>
  <sheetFormatPr defaultRowHeight="14.4" x14ac:dyDescent="0.3"/>
  <sheetData>
    <row r="1" spans="1:11" x14ac:dyDescent="0.3">
      <c r="A1" t="s">
        <v>2</v>
      </c>
      <c r="B1" t="s">
        <v>4</v>
      </c>
      <c r="C1" t="s">
        <v>3</v>
      </c>
      <c r="D1" t="s">
        <v>9</v>
      </c>
      <c r="E1" t="s">
        <v>6</v>
      </c>
      <c r="F1" t="s">
        <v>22</v>
      </c>
      <c r="G1" t="s">
        <v>23</v>
      </c>
      <c r="H1" t="s">
        <v>24</v>
      </c>
    </row>
    <row r="3" spans="1:11" x14ac:dyDescent="0.3">
      <c r="A3" t="s">
        <v>8</v>
      </c>
      <c r="B3" t="s">
        <v>18</v>
      </c>
      <c r="C3" t="s">
        <v>20</v>
      </c>
      <c r="D3" t="s">
        <v>2</v>
      </c>
      <c r="E3" t="s">
        <v>4</v>
      </c>
      <c r="F3" t="s">
        <v>3</v>
      </c>
      <c r="G3" t="s">
        <v>9</v>
      </c>
      <c r="H3" t="s">
        <v>6</v>
      </c>
      <c r="I3" t="s">
        <v>22</v>
      </c>
      <c r="J3" t="s">
        <v>23</v>
      </c>
      <c r="K3" t="s">
        <v>24</v>
      </c>
    </row>
    <row r="4" spans="1:11" x14ac:dyDescent="0.3">
      <c r="A4" t="s">
        <v>1</v>
      </c>
      <c r="B4">
        <v>15</v>
      </c>
      <c r="C4">
        <v>0</v>
      </c>
      <c r="D4">
        <v>40</v>
      </c>
    </row>
    <row r="5" spans="1:11" x14ac:dyDescent="0.3">
      <c r="A5" t="s">
        <v>21</v>
      </c>
      <c r="B5">
        <v>20</v>
      </c>
      <c r="C5">
        <v>10</v>
      </c>
      <c r="D5">
        <v>25</v>
      </c>
    </row>
    <row r="6" spans="1:11" x14ac:dyDescent="0.3">
      <c r="A6" t="s">
        <v>5</v>
      </c>
      <c r="B6">
        <v>12</v>
      </c>
      <c r="C6">
        <v>20</v>
      </c>
      <c r="E6">
        <v>15</v>
      </c>
      <c r="F6">
        <v>10</v>
      </c>
    </row>
    <row r="7" spans="1:11" x14ac:dyDescent="0.3">
      <c r="A7" t="s">
        <v>10</v>
      </c>
      <c r="B7">
        <v>10</v>
      </c>
      <c r="C7">
        <v>20</v>
      </c>
      <c r="F7">
        <v>25</v>
      </c>
    </row>
    <row r="8" spans="1:11" x14ac:dyDescent="0.3">
      <c r="A8" t="s">
        <v>11</v>
      </c>
      <c r="B8">
        <v>8</v>
      </c>
      <c r="C8">
        <v>20</v>
      </c>
      <c r="E8">
        <v>10</v>
      </c>
      <c r="G8">
        <v>10</v>
      </c>
    </row>
    <row r="9" spans="1:11" x14ac:dyDescent="0.3">
      <c r="A9" t="s">
        <v>12</v>
      </c>
      <c r="B9">
        <v>12</v>
      </c>
      <c r="C9">
        <v>50</v>
      </c>
      <c r="G9">
        <v>30</v>
      </c>
    </row>
    <row r="10" spans="1:11" x14ac:dyDescent="0.3">
      <c r="A10" t="s">
        <v>13</v>
      </c>
      <c r="B10">
        <v>10</v>
      </c>
      <c r="C10">
        <v>60</v>
      </c>
      <c r="F10">
        <v>20</v>
      </c>
      <c r="G10">
        <v>5</v>
      </c>
    </row>
    <row r="11" spans="1:11" x14ac:dyDescent="0.3">
      <c r="A11" t="s">
        <v>15</v>
      </c>
      <c r="B11">
        <v>10</v>
      </c>
      <c r="C11">
        <v>30</v>
      </c>
      <c r="G11">
        <v>10</v>
      </c>
    </row>
    <row r="12" spans="1:11" x14ac:dyDescent="0.3">
      <c r="A12" t="s">
        <v>16</v>
      </c>
      <c r="B12">
        <v>20</v>
      </c>
      <c r="C12">
        <v>10</v>
      </c>
      <c r="E12">
        <v>10</v>
      </c>
      <c r="F12">
        <v>15</v>
      </c>
    </row>
    <row r="13" spans="1:11" x14ac:dyDescent="0.3">
      <c r="A13" t="s">
        <v>17</v>
      </c>
      <c r="B13">
        <v>12</v>
      </c>
      <c r="C13">
        <v>50</v>
      </c>
      <c r="F13">
        <v>25</v>
      </c>
    </row>
    <row r="15" spans="1:11" x14ac:dyDescent="0.3">
      <c r="A15" t="s">
        <v>25</v>
      </c>
      <c r="B15">
        <v>15</v>
      </c>
      <c r="C15">
        <v>60</v>
      </c>
      <c r="D15">
        <v>10</v>
      </c>
      <c r="H15">
        <v>10</v>
      </c>
      <c r="I15">
        <v>5</v>
      </c>
    </row>
    <row r="16" spans="1:11" x14ac:dyDescent="0.3">
      <c r="A16" t="s">
        <v>26</v>
      </c>
      <c r="B16">
        <v>10</v>
      </c>
      <c r="C16">
        <v>40</v>
      </c>
      <c r="G16">
        <v>15</v>
      </c>
      <c r="I16">
        <v>10</v>
      </c>
    </row>
    <row r="17" spans="1:11" x14ac:dyDescent="0.3">
      <c r="A17" t="s">
        <v>27</v>
      </c>
      <c r="B17">
        <v>12</v>
      </c>
      <c r="C17">
        <v>70</v>
      </c>
      <c r="I17">
        <v>30</v>
      </c>
      <c r="K17">
        <v>5</v>
      </c>
    </row>
    <row r="18" spans="1:11" x14ac:dyDescent="0.3">
      <c r="A18" t="s">
        <v>28</v>
      </c>
      <c r="B18">
        <v>15</v>
      </c>
      <c r="C18">
        <v>80</v>
      </c>
      <c r="F18">
        <v>15</v>
      </c>
      <c r="H18">
        <v>10</v>
      </c>
      <c r="J18">
        <v>5</v>
      </c>
    </row>
    <row r="19" spans="1:11" x14ac:dyDescent="0.3">
      <c r="A19" t="s">
        <v>29</v>
      </c>
      <c r="B19">
        <v>10</v>
      </c>
      <c r="C19">
        <v>90</v>
      </c>
      <c r="D19">
        <v>20</v>
      </c>
      <c r="I19">
        <v>10</v>
      </c>
      <c r="J19">
        <v>10</v>
      </c>
    </row>
    <row r="20" spans="1:11" x14ac:dyDescent="0.3">
      <c r="A20" t="s">
        <v>30</v>
      </c>
      <c r="B20">
        <v>20</v>
      </c>
      <c r="C20">
        <v>100</v>
      </c>
      <c r="D20">
        <v>30</v>
      </c>
      <c r="H20">
        <v>20</v>
      </c>
    </row>
    <row r="21" spans="1:11" x14ac:dyDescent="0.3">
      <c r="A21" t="s">
        <v>14</v>
      </c>
      <c r="B21">
        <v>12</v>
      </c>
      <c r="C21">
        <v>85</v>
      </c>
      <c r="D21">
        <v>10</v>
      </c>
      <c r="I21">
        <v>15</v>
      </c>
      <c r="J21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István Zsombó</dc:creator>
  <cp:lastModifiedBy>Istvan Zsombo</cp:lastModifiedBy>
  <dcterms:created xsi:type="dcterms:W3CDTF">2015-06-05T18:17:20Z</dcterms:created>
  <dcterms:modified xsi:type="dcterms:W3CDTF">2026-04-25T10:10:14Z</dcterms:modified>
</cp:coreProperties>
</file>