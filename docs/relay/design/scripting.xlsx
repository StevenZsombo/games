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xr:revisionPtr revIDLastSave="0" documentId="13_ncr:1_{3285935D-95CF-4AD5-B1FE-40AB32625A4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1" l="1" a="1"/>
  <c r="P15" i="1" s="1"/>
  <c r="P16" i="1" a="1"/>
  <c r="P16" i="1" s="1"/>
  <c r="P17" i="1" a="1"/>
  <c r="P17" i="1" s="1"/>
  <c r="P18" i="1" a="1"/>
  <c r="P18" i="1" s="1"/>
  <c r="C16" i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P4" i="1" a="1"/>
  <c r="P4" i="1" s="1"/>
  <c r="P5" i="1" a="1"/>
  <c r="P5" i="1" s="1"/>
  <c r="P6" i="1" a="1"/>
  <c r="P6" i="1" s="1"/>
  <c r="P7" i="1" a="1"/>
  <c r="P7" i="1" s="1"/>
  <c r="B7" i="1" s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3" i="1" a="1"/>
  <c r="P3" i="1" s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B4" i="1" l="1"/>
  <c r="B5" i="1"/>
  <c r="B6" i="1"/>
  <c r="B8" i="1"/>
  <c r="B9" i="1"/>
  <c r="B10" i="1"/>
  <c r="B11" i="1"/>
  <c r="B12" i="1"/>
  <c r="B13" i="1"/>
  <c r="B17" i="1"/>
  <c r="B18" i="1"/>
  <c r="B19" i="1"/>
  <c r="B20" i="1"/>
  <c r="B21" i="1"/>
  <c r="B22" i="1"/>
  <c r="B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<sst xmlns="http://schemas.openxmlformats.org/spreadsheetml/2006/main" count="188" uniqueCount="74">
  <si>
    <t>firstletter</t>
  </si>
  <si>
    <t>reactor</t>
  </si>
  <si>
    <t>energy</t>
  </si>
  <si>
    <t>water</t>
  </si>
  <si>
    <t>food</t>
  </si>
  <si>
    <t>hydroponics</t>
  </si>
  <si>
    <t>comms</t>
  </si>
  <si>
    <t>question</t>
  </si>
  <si>
    <t>Terminal</t>
  </si>
  <si>
    <t>parts</t>
  </si>
  <si>
    <t>water recycler</t>
  </si>
  <si>
    <t>cargo bay</t>
  </si>
  <si>
    <t>comms array</t>
  </si>
  <si>
    <t>fabricator</t>
  </si>
  <si>
    <t>research lab</t>
  </si>
  <si>
    <t>medical bay</t>
  </si>
  <si>
    <t>life support</t>
  </si>
  <si>
    <t>machine shop</t>
  </si>
  <si>
    <t>delay</t>
  </si>
  <si>
    <t>VALUE</t>
  </si>
  <si>
    <t>questions</t>
  </si>
  <si>
    <t>solar array</t>
  </si>
  <si>
    <t>titanium</t>
  </si>
  <si>
    <t>alloy</t>
  </si>
  <si>
    <t>cell</t>
  </si>
  <si>
    <t>mining station</t>
  </si>
  <si>
    <t>scrapyard</t>
  </si>
  <si>
    <t>data vault</t>
  </si>
  <si>
    <t>supply depot</t>
  </si>
  <si>
    <t>fusion core</t>
  </si>
  <si>
    <t>alloy plant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</si>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</sst>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31"/>
  <sheetViews>
    <sheetView tabSelected="1" workbookViewId="0">
      <selection activeCell="D11" sqref="D11"/>
    </sheetView>
  </sheetViews>
  <sheetFormatPr defaultRowHeight="14.4" x14ac:dyDescent="0.3"/>
  <cols>
    <col min="4" max="4" width="13" customWidth="1"/>
    <col min="5" max="6" width="7.33203125" customWidth="1"/>
    <col min="7" max="7" width="14.33203125" customWidth="1"/>
    <col min="8" max="8" width="11.5546875" customWidth="1"/>
  </cols>
  <sheetData>
    <row r="2" spans="2:26" x14ac:dyDescent="0.3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32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">
      <c r="B3" t="s">
        <v>19</v>
      </c>
      <c r="C3" t="s">
        <v>0</v>
      </c>
      <c r="D3" t="s">
        <v>33</v>
      </c>
      <c r="E3" t="s">
        <v>18</v>
      </c>
      <c r="F3" t="s">
        <v>7</v>
      </c>
      <c r="G3" t="s">
        <v>34</v>
      </c>
      <c r="H3" t="s">
        <v>35</v>
      </c>
      <c r="I3" t="s">
        <v>2</v>
      </c>
      <c r="J3" t="s">
        <v>4</v>
      </c>
      <c r="K3" t="s">
        <v>3</v>
      </c>
      <c r="L3" t="s">
        <v>9</v>
      </c>
      <c r="M3" t="s">
        <v>31</v>
      </c>
      <c r="N3" t="s">
        <v>22</v>
      </c>
      <c r="O3" t="s">
        <v>23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36</v>
      </c>
      <c r="H4" t="s">
        <v>56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">
      <c r="B5">
        <f t="shared" ref="B5:B31" si="1">SUM(E5:AA5)</f>
        <v>55</v>
      </c>
      <c r="C5" t="str">
        <f t="shared" ref="C5:C31" si="2">LEFT(D5,1)</f>
        <v>s</v>
      </c>
      <c r="D5" s="1" t="s">
        <v>71</v>
      </c>
      <c r="E5">
        <v>20</v>
      </c>
      <c r="F5">
        <v>10</v>
      </c>
      <c r="G5" t="s">
        <v>40</v>
      </c>
      <c r="H5" t="s">
        <v>56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">
      <c r="B6">
        <f t="shared" si="1"/>
        <v>57</v>
      </c>
      <c r="C6" t="str">
        <f t="shared" si="2"/>
        <v>h</v>
      </c>
      <c r="D6" s="1" t="s">
        <v>59</v>
      </c>
      <c r="E6">
        <v>12</v>
      </c>
      <c r="F6">
        <v>20</v>
      </c>
      <c r="G6" t="s">
        <v>37</v>
      </c>
      <c r="H6" t="s">
        <v>56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41</v>
      </c>
      <c r="H7" t="s">
        <v>56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">
      <c r="B8">
        <f t="shared" si="1"/>
        <v>48</v>
      </c>
      <c r="C8" t="str">
        <f t="shared" si="2"/>
        <v>c</v>
      </c>
      <c r="D8" s="1" t="s">
        <v>60</v>
      </c>
      <c r="E8">
        <v>8</v>
      </c>
      <c r="F8">
        <v>20</v>
      </c>
      <c r="G8" t="s">
        <v>42</v>
      </c>
      <c r="H8" t="s">
        <v>56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">
      <c r="B9">
        <f t="shared" si="1"/>
        <v>92</v>
      </c>
      <c r="C9" t="str">
        <f t="shared" si="2"/>
        <v>c</v>
      </c>
      <c r="D9" s="1" t="s">
        <v>6</v>
      </c>
      <c r="E9">
        <v>12</v>
      </c>
      <c r="F9">
        <v>50</v>
      </c>
      <c r="G9" t="s">
        <v>43</v>
      </c>
      <c r="H9" t="s">
        <v>56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">
      <c r="B10">
        <f t="shared" si="1"/>
        <v>95</v>
      </c>
      <c r="C10" t="str">
        <f t="shared" si="2"/>
        <v>f</v>
      </c>
      <c r="D10" s="1" t="s">
        <v>73</v>
      </c>
      <c r="E10">
        <v>10</v>
      </c>
      <c r="F10">
        <v>60</v>
      </c>
      <c r="G10" t="s">
        <v>38</v>
      </c>
      <c r="H10" t="s">
        <v>56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">
      <c r="B11">
        <f t="shared" si="1"/>
        <v>50</v>
      </c>
      <c r="C11" t="str">
        <f t="shared" si="2"/>
        <v>m</v>
      </c>
      <c r="D11" s="1" t="s">
        <v>61</v>
      </c>
      <c r="E11">
        <v>10</v>
      </c>
      <c r="F11">
        <v>30</v>
      </c>
      <c r="G11" t="s">
        <v>44</v>
      </c>
      <c r="H11" t="s">
        <v>56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">
      <c r="B12">
        <f t="shared" si="1"/>
        <v>55</v>
      </c>
      <c r="C12" t="str">
        <f t="shared" si="2"/>
        <v>l</v>
      </c>
      <c r="D12" s="1" t="s">
        <v>62</v>
      </c>
      <c r="E12">
        <v>20</v>
      </c>
      <c r="F12">
        <v>10</v>
      </c>
      <c r="G12" t="s">
        <v>45</v>
      </c>
      <c r="H12" t="s">
        <v>56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">
      <c r="B13">
        <f t="shared" si="1"/>
        <v>87</v>
      </c>
      <c r="C13" t="str">
        <f t="shared" si="2"/>
        <v>m</v>
      </c>
      <c r="D13" s="1" t="s">
        <v>63</v>
      </c>
      <c r="E13">
        <v>12</v>
      </c>
      <c r="F13">
        <v>50</v>
      </c>
      <c r="G13" t="s">
        <v>46</v>
      </c>
      <c r="H13" t="s">
        <v>56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">
      <c r="C14" t="str">
        <f t="shared" si="2"/>
        <v>s</v>
      </c>
      <c r="D14" s="1" t="s">
        <v>64</v>
      </c>
      <c r="G14" t="s">
        <v>47</v>
      </c>
      <c r="H14" t="s">
        <v>55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">
      <c r="C15" t="str">
        <f t="shared" si="2"/>
        <v>a</v>
      </c>
      <c r="D15" s="1" t="s">
        <v>72</v>
      </c>
      <c r="G15" t="s">
        <v>57</v>
      </c>
      <c r="H15" t="s">
        <v>55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">
      <c r="C16" t="str">
        <f t="shared" si="2"/>
        <v>d</v>
      </c>
      <c r="D16" s="1" t="s">
        <v>65</v>
      </c>
      <c r="G16" t="s">
        <v>58</v>
      </c>
      <c r="H16" t="s">
        <v>55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">
      <c r="B17">
        <f t="shared" si="1"/>
        <v>100</v>
      </c>
      <c r="C17" t="str">
        <f t="shared" si="2"/>
        <v>m</v>
      </c>
      <c r="D17" s="1" t="s">
        <v>66</v>
      </c>
      <c r="E17">
        <v>15</v>
      </c>
      <c r="F17">
        <v>60</v>
      </c>
      <c r="G17" t="s">
        <v>48</v>
      </c>
      <c r="H17" t="s">
        <v>54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">
      <c r="B18">
        <f t="shared" si="1"/>
        <v>75</v>
      </c>
      <c r="C18" t="str">
        <f t="shared" si="2"/>
        <v>s</v>
      </c>
      <c r="D18" s="1" t="s">
        <v>26</v>
      </c>
      <c r="E18">
        <v>10</v>
      </c>
      <c r="F18">
        <v>40</v>
      </c>
      <c r="G18" t="s">
        <v>39</v>
      </c>
      <c r="H18" t="s">
        <v>54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">
      <c r="B19">
        <f t="shared" si="1"/>
        <v>127</v>
      </c>
      <c r="C19" t="str">
        <f t="shared" si="2"/>
        <v>d</v>
      </c>
      <c r="D19" s="1" t="s">
        <v>67</v>
      </c>
      <c r="E19">
        <v>12</v>
      </c>
      <c r="F19">
        <v>70</v>
      </c>
      <c r="G19" t="s">
        <v>49</v>
      </c>
      <c r="H19" t="s">
        <v>54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">
      <c r="B20">
        <f t="shared" si="1"/>
        <v>125</v>
      </c>
      <c r="C20" t="str">
        <f t="shared" si="2"/>
        <v>s</v>
      </c>
      <c r="D20" s="1" t="s">
        <v>68</v>
      </c>
      <c r="E20">
        <v>15</v>
      </c>
      <c r="F20">
        <v>80</v>
      </c>
      <c r="G20" t="s">
        <v>50</v>
      </c>
      <c r="H20" t="s">
        <v>54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">
      <c r="B21">
        <f t="shared" si="1"/>
        <v>140</v>
      </c>
      <c r="C21" t="str">
        <f t="shared" si="2"/>
        <v>f</v>
      </c>
      <c r="D21" s="1" t="s">
        <v>69</v>
      </c>
      <c r="E21">
        <v>10</v>
      </c>
      <c r="F21">
        <v>90</v>
      </c>
      <c r="G21" t="s">
        <v>51</v>
      </c>
      <c r="H21" t="s">
        <v>54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">
      <c r="B22">
        <f t="shared" si="1"/>
        <v>170</v>
      </c>
      <c r="C22" t="str">
        <f t="shared" si="2"/>
        <v>a</v>
      </c>
      <c r="D22" s="1" t="s">
        <v>23</v>
      </c>
      <c r="E22">
        <v>20</v>
      </c>
      <c r="F22">
        <v>100</v>
      </c>
      <c r="G22" t="s">
        <v>52</v>
      </c>
      <c r="H22" t="s">
        <v>54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">
      <c r="B23">
        <f t="shared" si="1"/>
        <v>127</v>
      </c>
      <c r="C23" t="str">
        <f t="shared" si="2"/>
        <v>r</v>
      </c>
      <c r="D23" s="1" t="s">
        <v>70</v>
      </c>
      <c r="E23">
        <v>12</v>
      </c>
      <c r="F23">
        <v>85</v>
      </c>
      <c r="G23" t="s">
        <v>53</v>
      </c>
      <c r="H23" t="s">
        <v>54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">
      <c r="B24">
        <f t="shared" si="1"/>
        <v>0</v>
      </c>
      <c r="C24" t="str">
        <f t="shared" si="2"/>
        <v/>
      </c>
    </row>
    <row r="25" spans="2:19" x14ac:dyDescent="0.3">
      <c r="B25">
        <f t="shared" si="1"/>
        <v>0</v>
      </c>
      <c r="C25" t="str">
        <f t="shared" si="2"/>
        <v/>
      </c>
    </row>
    <row r="26" spans="2:19" x14ac:dyDescent="0.3">
      <c r="B26">
        <f t="shared" si="1"/>
        <v>0</v>
      </c>
      <c r="C26" t="str">
        <f t="shared" si="2"/>
        <v/>
      </c>
    </row>
    <row r="27" spans="2:19" x14ac:dyDescent="0.3">
      <c r="B27">
        <f t="shared" si="1"/>
        <v>0</v>
      </c>
      <c r="C27" t="str">
        <f t="shared" si="2"/>
        <v/>
      </c>
    </row>
    <row r="28" spans="2:19" x14ac:dyDescent="0.3">
      <c r="B28">
        <f t="shared" si="1"/>
        <v>0</v>
      </c>
      <c r="C28" t="str">
        <f t="shared" si="2"/>
        <v/>
      </c>
    </row>
    <row r="29" spans="2:19" x14ac:dyDescent="0.3">
      <c r="B29">
        <f t="shared" si="1"/>
        <v>0</v>
      </c>
      <c r="C29" t="str">
        <f t="shared" si="2"/>
        <v/>
      </c>
    </row>
    <row r="30" spans="2:19" x14ac:dyDescent="0.3">
      <c r="B30">
        <f t="shared" si="1"/>
        <v>0</v>
      </c>
      <c r="C30" t="str">
        <f t="shared" si="2"/>
        <v/>
      </c>
    </row>
    <row r="31" spans="2:19" x14ac:dyDescent="0.3">
      <c r="B31">
        <f t="shared" si="1"/>
        <v>0</v>
      </c>
      <c r="C31" t="str">
        <f t="shared" si="2"/>
        <v/>
      </c>
    </row>
  </sheetData>
  <conditionalFormatting sqref="E2:AB2">
    <cfRule type="duplicateValues" dxfId="1" priority="2"/>
  </conditionalFormatting>
  <conditionalFormatting sqref="C4:C31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3167-3587-40D7-B120-D95141DEB2C8}">
  <dimension ref="A1:K21"/>
  <sheetViews>
    <sheetView workbookViewId="0">
      <selection activeCell="A3" sqref="A3:K21"/>
    </sheetView>
  </sheetViews>
  <sheetFormatPr defaultRowHeight="14.4" x14ac:dyDescent="0.3"/>
  <sheetData>
    <row r="1" spans="1:11" x14ac:dyDescent="0.3">
      <c r="A1" t="s">
        <v>2</v>
      </c>
      <c r="B1" t="s">
        <v>4</v>
      </c>
      <c r="C1" t="s">
        <v>3</v>
      </c>
      <c r="D1" t="s">
        <v>9</v>
      </c>
      <c r="E1" t="s">
        <v>6</v>
      </c>
      <c r="F1" t="s">
        <v>22</v>
      </c>
      <c r="G1" t="s">
        <v>23</v>
      </c>
      <c r="H1" t="s">
        <v>24</v>
      </c>
    </row>
    <row r="3" spans="1:11" x14ac:dyDescent="0.3">
      <c r="A3" t="s">
        <v>8</v>
      </c>
      <c r="B3" t="s">
        <v>18</v>
      </c>
      <c r="C3" t="s">
        <v>20</v>
      </c>
      <c r="D3" t="s">
        <v>2</v>
      </c>
      <c r="E3" t="s">
        <v>4</v>
      </c>
      <c r="F3" t="s">
        <v>3</v>
      </c>
      <c r="G3" t="s">
        <v>9</v>
      </c>
      <c r="H3" t="s">
        <v>6</v>
      </c>
      <c r="I3" t="s">
        <v>22</v>
      </c>
      <c r="J3" t="s">
        <v>23</v>
      </c>
      <c r="K3" t="s">
        <v>24</v>
      </c>
    </row>
    <row r="4" spans="1:11" x14ac:dyDescent="0.3">
      <c r="A4" t="s">
        <v>1</v>
      </c>
      <c r="B4">
        <v>15</v>
      </c>
      <c r="C4">
        <v>0</v>
      </c>
      <c r="D4">
        <v>40</v>
      </c>
    </row>
    <row r="5" spans="1:11" x14ac:dyDescent="0.3">
      <c r="A5" t="s">
        <v>21</v>
      </c>
      <c r="B5">
        <v>20</v>
      </c>
      <c r="C5">
        <v>10</v>
      </c>
      <c r="D5">
        <v>25</v>
      </c>
    </row>
    <row r="6" spans="1:11" x14ac:dyDescent="0.3">
      <c r="A6" t="s">
        <v>5</v>
      </c>
      <c r="B6">
        <v>12</v>
      </c>
      <c r="C6">
        <v>20</v>
      </c>
      <c r="E6">
        <v>15</v>
      </c>
      <c r="F6">
        <v>10</v>
      </c>
    </row>
    <row r="7" spans="1:11" x14ac:dyDescent="0.3">
      <c r="A7" t="s">
        <v>10</v>
      </c>
      <c r="B7">
        <v>10</v>
      </c>
      <c r="C7">
        <v>20</v>
      </c>
      <c r="F7">
        <v>25</v>
      </c>
    </row>
    <row r="8" spans="1:11" x14ac:dyDescent="0.3">
      <c r="A8" t="s">
        <v>11</v>
      </c>
      <c r="B8">
        <v>8</v>
      </c>
      <c r="C8">
        <v>20</v>
      </c>
      <c r="E8">
        <v>10</v>
      </c>
      <c r="G8">
        <v>10</v>
      </c>
    </row>
    <row r="9" spans="1:11" x14ac:dyDescent="0.3">
      <c r="A9" t="s">
        <v>12</v>
      </c>
      <c r="B9">
        <v>12</v>
      </c>
      <c r="C9">
        <v>50</v>
      </c>
      <c r="G9">
        <v>30</v>
      </c>
    </row>
    <row r="10" spans="1:11" x14ac:dyDescent="0.3">
      <c r="A10" t="s">
        <v>13</v>
      </c>
      <c r="B10">
        <v>10</v>
      </c>
      <c r="C10">
        <v>60</v>
      </c>
      <c r="F10">
        <v>20</v>
      </c>
      <c r="G10">
        <v>5</v>
      </c>
    </row>
    <row r="11" spans="1:11" x14ac:dyDescent="0.3">
      <c r="A11" t="s">
        <v>15</v>
      </c>
      <c r="B11">
        <v>10</v>
      </c>
      <c r="C11">
        <v>30</v>
      </c>
      <c r="G11">
        <v>10</v>
      </c>
    </row>
    <row r="12" spans="1:11" x14ac:dyDescent="0.3">
      <c r="A12" t="s">
        <v>16</v>
      </c>
      <c r="B12">
        <v>20</v>
      </c>
      <c r="C12">
        <v>10</v>
      </c>
      <c r="E12">
        <v>10</v>
      </c>
      <c r="F12">
        <v>15</v>
      </c>
    </row>
    <row r="13" spans="1:11" x14ac:dyDescent="0.3">
      <c r="A13" t="s">
        <v>17</v>
      </c>
      <c r="B13">
        <v>12</v>
      </c>
      <c r="C13">
        <v>50</v>
      </c>
      <c r="F13">
        <v>25</v>
      </c>
    </row>
    <row r="15" spans="1:11" x14ac:dyDescent="0.3">
      <c r="A15" t="s">
        <v>25</v>
      </c>
      <c r="B15">
        <v>15</v>
      </c>
      <c r="C15">
        <v>60</v>
      </c>
      <c r="D15">
        <v>10</v>
      </c>
      <c r="H15">
        <v>10</v>
      </c>
      <c r="I15">
        <v>5</v>
      </c>
    </row>
    <row r="16" spans="1:11" x14ac:dyDescent="0.3">
      <c r="A16" t="s">
        <v>26</v>
      </c>
      <c r="B16">
        <v>10</v>
      </c>
      <c r="C16">
        <v>40</v>
      </c>
      <c r="G16">
        <v>15</v>
      </c>
      <c r="I16">
        <v>10</v>
      </c>
    </row>
    <row r="17" spans="1:11" x14ac:dyDescent="0.3">
      <c r="A17" t="s">
        <v>27</v>
      </c>
      <c r="B17">
        <v>12</v>
      </c>
      <c r="C17">
        <v>70</v>
      </c>
      <c r="I17">
        <v>30</v>
      </c>
      <c r="K17">
        <v>5</v>
      </c>
    </row>
    <row r="18" spans="1:11" x14ac:dyDescent="0.3">
      <c r="A18" t="s">
        <v>28</v>
      </c>
      <c r="B18">
        <v>15</v>
      </c>
      <c r="C18">
        <v>80</v>
      </c>
      <c r="F18">
        <v>15</v>
      </c>
      <c r="H18">
        <v>10</v>
      </c>
      <c r="J18">
        <v>5</v>
      </c>
    </row>
    <row r="19" spans="1:11" x14ac:dyDescent="0.3">
      <c r="A19" t="s">
        <v>29</v>
      </c>
      <c r="B19">
        <v>10</v>
      </c>
      <c r="C19">
        <v>90</v>
      </c>
      <c r="D19">
        <v>20</v>
      </c>
      <c r="I19">
        <v>10</v>
      </c>
      <c r="J19">
        <v>10</v>
      </c>
    </row>
    <row r="20" spans="1:11" x14ac:dyDescent="0.3">
      <c r="A20" t="s">
        <v>30</v>
      </c>
      <c r="B20">
        <v>20</v>
      </c>
      <c r="C20">
        <v>100</v>
      </c>
      <c r="D20">
        <v>30</v>
      </c>
      <c r="H20">
        <v>20</v>
      </c>
    </row>
    <row r="21" spans="1:11" x14ac:dyDescent="0.3">
      <c r="A21" t="s">
        <v>14</v>
      </c>
      <c r="B21">
        <v>12</v>
      </c>
      <c r="C21">
        <v>85</v>
      </c>
      <c r="D21">
        <v>10</v>
      </c>
      <c r="I21">
        <v>15</v>
      </c>
      <c r="J2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2026-04-25T09:02:27Z</dcterms:modified>
</cp:coreProperties>
</file>