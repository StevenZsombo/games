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js\games\docs\relay\design\"/>
    </mc:Choice>
  </mc:AlternateContent>
  <xr:revisionPtr revIDLastSave="0" documentId="13_ncr:1_{A51992DB-79B3-40DC-9BCB-1782D7A37E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withani" sheetId="3" r:id="rId1"/>
    <sheet name="conventions" sheetId="4" r:id="rId2"/>
    <sheet name="bad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3" l="1"/>
  <c r="B30" i="3"/>
  <c r="B31" i="3"/>
  <c r="B32" i="3"/>
  <c r="B33" i="3"/>
  <c r="T29" i="3"/>
  <c r="T30" i="3"/>
  <c r="T31" i="3"/>
  <c r="T32" i="3"/>
  <c r="T33" i="3"/>
  <c r="T4" i="3" l="1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34" i="3"/>
  <c r="T35" i="3"/>
  <c r="T36" i="3"/>
  <c r="T37" i="3"/>
  <c r="T38" i="3"/>
  <c r="T39" i="3"/>
  <c r="T40" i="3"/>
  <c r="T41" i="3"/>
  <c r="T42" i="3"/>
  <c r="T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T43" i="3"/>
  <c r="T44" i="3"/>
  <c r="T45" i="3"/>
  <c r="T46" i="3"/>
  <c r="T47" i="3"/>
  <c r="T48" i="3"/>
  <c r="L2" i="3" l="1"/>
  <c r="M2" i="3"/>
  <c r="N2" i="3"/>
  <c r="O2" i="3"/>
  <c r="K2" i="3"/>
  <c r="J2" i="3"/>
  <c r="I2" i="3"/>
  <c r="H2" i="3"/>
  <c r="C16" i="1" l="1"/>
  <c r="S16" i="1"/>
  <c r="C15" i="1"/>
  <c r="S15" i="1"/>
  <c r="S6" i="1"/>
  <c r="S7" i="1"/>
  <c r="S8" i="1"/>
  <c r="S9" i="1"/>
  <c r="S10" i="1"/>
  <c r="S11" i="1"/>
  <c r="S12" i="1"/>
  <c r="S13" i="1"/>
  <c r="S14" i="1"/>
  <c r="S17" i="1"/>
  <c r="S18" i="1"/>
  <c r="S19" i="1"/>
  <c r="S20" i="1"/>
  <c r="S21" i="1"/>
  <c r="S22" i="1"/>
  <c r="S23" i="1"/>
  <c r="S5" i="1"/>
  <c r="C14" i="1"/>
  <c r="C24" i="1"/>
  <c r="C25" i="1"/>
  <c r="C26" i="1"/>
  <c r="C27" i="1"/>
  <c r="C28" i="1"/>
  <c r="C29" i="1"/>
  <c r="C30" i="1"/>
  <c r="C31" i="1"/>
  <c r="B24" i="1"/>
  <c r="B25" i="1"/>
  <c r="B26" i="1"/>
  <c r="B27" i="1"/>
  <c r="B28" i="1"/>
  <c r="B29" i="1"/>
  <c r="B30" i="1"/>
  <c r="B31" i="1"/>
  <c r="Z2" i="1"/>
  <c r="Y2" i="1"/>
  <c r="X2" i="1"/>
  <c r="W2" i="1"/>
  <c r="V2" i="1"/>
  <c r="U2" i="1"/>
  <c r="T2" i="1"/>
  <c r="S2" i="1"/>
  <c r="R2" i="1"/>
  <c r="O2" i="1"/>
  <c r="N2" i="1"/>
  <c r="M2" i="1"/>
  <c r="L2" i="1"/>
  <c r="K2" i="1"/>
  <c r="J2" i="1"/>
  <c r="I2" i="1"/>
  <c r="C23" i="1"/>
  <c r="C22" i="1"/>
  <c r="C21" i="1"/>
  <c r="C20" i="1"/>
  <c r="C19" i="1"/>
  <c r="C18" i="1"/>
  <c r="C17" i="1"/>
  <c r="C13" i="1"/>
  <c r="C12" i="1"/>
  <c r="C11" i="1"/>
  <c r="C10" i="1"/>
  <c r="C9" i="1"/>
  <c r="C8" i="1"/>
  <c r="C7" i="1"/>
  <c r="C6" i="1"/>
  <c r="C5" i="1"/>
  <c r="C4" i="1"/>
  <c r="P19" i="1" a="1"/>
  <c r="P3" i="1" a="1"/>
  <c r="P18" i="1" a="1"/>
  <c r="P20" i="1" a="1"/>
  <c r="P8" i="1" a="1"/>
  <c r="P6" i="1" a="1"/>
  <c r="P14" i="1" a="1"/>
  <c r="P9" i="1" a="1"/>
  <c r="P7" i="1" a="1"/>
  <c r="P10" i="1" a="1"/>
  <c r="P22" i="1" a="1"/>
  <c r="P15" i="1" a="1"/>
  <c r="P23" i="1" a="1"/>
  <c r="P21" i="1" a="1"/>
  <c r="P11" i="1" a="1"/>
  <c r="P16" i="1" a="1"/>
  <c r="P17" i="1" a="1"/>
  <c r="P13" i="1" a="1"/>
  <c r="P4" i="1" a="1"/>
  <c r="P5" i="1" a="1"/>
  <c r="P12" i="1" a="1"/>
  <c r="P11" i="1" l="1"/>
  <c r="B11" i="1" s="1"/>
  <c r="P20" i="1"/>
  <c r="B20" i="1" s="1"/>
  <c r="P14" i="1"/>
  <c r="P18" i="1"/>
  <c r="B18" i="1" s="1"/>
  <c r="P13" i="1"/>
  <c r="B13" i="1" s="1"/>
  <c r="P5" i="1"/>
  <c r="B5" i="1" s="1"/>
  <c r="P17" i="1"/>
  <c r="B17" i="1" s="1"/>
  <c r="P23" i="1"/>
  <c r="B23" i="1" s="1"/>
  <c r="P22" i="1"/>
  <c r="B22" i="1" s="1"/>
  <c r="P7" i="1"/>
  <c r="B7" i="1" s="1"/>
  <c r="P6" i="1"/>
  <c r="B6" i="1" s="1"/>
  <c r="P3" i="1"/>
  <c r="P12" i="1"/>
  <c r="B12" i="1" s="1"/>
  <c r="P4" i="1"/>
  <c r="B4" i="1" s="1"/>
  <c r="P16" i="1"/>
  <c r="P15" i="1"/>
  <c r="P10" i="1"/>
  <c r="B10" i="1" s="1"/>
  <c r="P9" i="1"/>
  <c r="B9" i="1" s="1"/>
  <c r="P8" i="1"/>
  <c r="B8" i="1" s="1"/>
  <c r="P19" i="1"/>
  <c r="B19" i="1" s="1"/>
  <c r="P21" i="1"/>
  <c r="B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<sst xmlns="http://schemas.openxmlformats.org/spreadsheetml/2006/main" count="260" uniqueCount="147">
  <si>
    <t>firstletter</t>
  </si>
  <si>
    <t>reactor</t>
  </si>
  <si>
    <t>energy</t>
  </si>
  <si>
    <t>water</t>
  </si>
  <si>
    <t>food</t>
  </si>
  <si>
    <t>comms</t>
  </si>
  <si>
    <t>question</t>
  </si>
  <si>
    <t>parts</t>
  </si>
  <si>
    <t>delay</t>
  </si>
  <si>
    <t>VALUE</t>
  </si>
  <si>
    <t>titanium</t>
  </si>
  <si>
    <t>alloy</t>
  </si>
  <si>
    <t>scrapyard</t>
  </si>
  <si>
    <t>metals</t>
  </si>
  <si>
    <t>JOINED</t>
  </si>
  <si>
    <t>terminal</t>
  </si>
  <si>
    <t>pretty</t>
  </si>
  <si>
    <t>action</t>
  </si>
  <si>
    <t>Reactor</t>
  </si>
  <si>
    <t>Hydroponics</t>
  </si>
  <si>
    <t>Fabricator</t>
  </si>
  <si>
    <t>Scrapyard</t>
  </si>
  <si>
    <t>Solar Array</t>
  </si>
  <si>
    <t>Water recycler</t>
  </si>
  <si>
    <t>Cargo bay</t>
  </si>
  <si>
    <t>Comms array</t>
  </si>
  <si>
    <t>Medical bay</t>
  </si>
  <si>
    <t>Life support</t>
  </si>
  <si>
    <t>Machine shop</t>
  </si>
  <si>
    <t>Shuttle bay</t>
  </si>
  <si>
    <t>Mining station</t>
  </si>
  <si>
    <t>Data vault</t>
  </si>
  <si>
    <t>Supply depot</t>
  </si>
  <si>
    <t>Fusion core</t>
  </si>
  <si>
    <t>Alloy plant</t>
  </si>
  <si>
    <t>Research lab</t>
  </si>
  <si>
    <t>CAPTURE</t>
  </si>
  <si>
    <t>USE</t>
  </si>
  <si>
    <t>REPAIR</t>
  </si>
  <si>
    <t>Upgrade center</t>
  </si>
  <si>
    <t>ACCESS KEY NEEDED</t>
  </si>
  <si>
    <t>hydro</t>
  </si>
  <si>
    <t>cargo</t>
  </si>
  <si>
    <t>med</t>
  </si>
  <si>
    <t>life</t>
  </si>
  <si>
    <t>machine</t>
  </si>
  <si>
    <t>shuttle</t>
  </si>
  <si>
    <t>door</t>
  </si>
  <si>
    <t>mining</t>
  </si>
  <si>
    <t>data</t>
  </si>
  <si>
    <t>supply</t>
  </si>
  <si>
    <t>fusion</t>
  </si>
  <si>
    <t>research</t>
  </si>
  <si>
    <t>solar</t>
  </si>
  <si>
    <t>access</t>
  </si>
  <si>
    <t>fab</t>
  </si>
  <si>
    <t>Life Support</t>
  </si>
  <si>
    <t>anti</t>
  </si>
  <si>
    <t>Antimatter Chamber</t>
  </si>
  <si>
    <t>Water Recycler</t>
  </si>
  <si>
    <t>Homebase</t>
  </si>
  <si>
    <t>antimatter</t>
  </si>
  <si>
    <t>coolant</t>
  </si>
  <si>
    <t>minerals</t>
  </si>
  <si>
    <t>salvage</t>
  </si>
  <si>
    <t>homebase</t>
  </si>
  <si>
    <t>utility</t>
  </si>
  <si>
    <t>hostile</t>
  </si>
  <si>
    <t>Hostile</t>
  </si>
  <si>
    <t>Note</t>
  </si>
  <si>
    <t>JOINED:</t>
  </si>
  <si>
    <t>base</t>
  </si>
  <si>
    <t>upgrade1</t>
  </si>
  <si>
    <t>upgrade2</t>
  </si>
  <si>
    <t>upgrade3</t>
  </si>
  <si>
    <t>obs</t>
  </si>
  <si>
    <t>Observatory</t>
  </si>
  <si>
    <t>WORLDMAP</t>
  </si>
  <si>
    <t>Prerequisite</t>
  </si>
  <si>
    <t>fab,med,anti</t>
  </si>
  <si>
    <t>hazard</t>
  </si>
  <si>
    <t>chestmineral</t>
  </si>
  <si>
    <t>chestcoolant</t>
  </si>
  <si>
    <t>chestsalvage</t>
  </si>
  <si>
    <t>chestantimatter</t>
  </si>
  <si>
    <t>CLAIM</t>
  </si>
  <si>
    <t>Mineral residue</t>
  </si>
  <si>
    <t>Coolant remains</t>
  </si>
  <si>
    <t>Salvage pack</t>
  </si>
  <si>
    <t>Antimatter traces</t>
  </si>
  <si>
    <t>upgrade</t>
  </si>
  <si>
    <t>Damaged door</t>
  </si>
  <si>
    <t>Locked door</t>
  </si>
  <si>
    <t>Description</t>
  </si>
  <si>
    <t>friendly</t>
  </si>
  <si>
    <t>description</t>
  </si>
  <si>
    <t>plants</t>
  </si>
  <si>
    <t>Plants</t>
  </si>
  <si>
    <t>chestenergy</t>
  </si>
  <si>
    <t>chestwater</t>
  </si>
  <si>
    <t>chestfood</t>
  </si>
  <si>
    <t>chestparts</t>
  </si>
  <si>
    <t>Parts box</t>
  </si>
  <si>
    <t>Energy cells</t>
  </si>
  <si>
    <t>Ice blocks</t>
  </si>
  <si>
    <t>Nutrient packs</t>
  </si>
  <si>
    <t>HACK</t>
  </si>
  <si>
    <t>RESTORE</t>
  </si>
  <si>
    <t>fridge</t>
  </si>
  <si>
    <t>Fridge</t>
  </si>
  <si>
    <t>bucket</t>
  </si>
  <si>
    <t>High security door</t>
  </si>
  <si>
    <t>Space Hazard Unit</t>
  </si>
  <si>
    <t>Allows you to explore space.</t>
  </si>
  <si>
    <t>Lets you peek into the endless void of space.</t>
  </si>
  <si>
    <t>TRAVEL</t>
  </si>
  <si>
    <t>SEEUPGRADES</t>
  </si>
  <si>
    <t>delay  = 0 means not a clockwork. Can be interacted with once then deactivates or does not change state. Everything else is a clockwork, producing when first activated then once every minute.</t>
  </si>
  <si>
    <t>firstletter:</t>
  </si>
  <si>
    <t>negative resoruce is an activation requirement (before question is assigned)</t>
  </si>
  <si>
    <t>door_easy</t>
  </si>
  <si>
    <t>door_medium</t>
  </si>
  <si>
    <t>door_hard</t>
  </si>
  <si>
    <t>door_extreme</t>
  </si>
  <si>
    <t>Reinforced door</t>
  </si>
  <si>
    <t>note</t>
  </si>
  <si>
    <t>prereq</t>
  </si>
  <si>
    <t>Travel to new locations!</t>
  </si>
  <si>
    <t>See available upgrades.</t>
  </si>
  <si>
    <t>req hazard on homebase only</t>
  </si>
  <si>
    <t>smallenergy</t>
  </si>
  <si>
    <t>smallwater</t>
  </si>
  <si>
    <t>smallfood</t>
  </si>
  <si>
    <t>smallparts</t>
  </si>
  <si>
    <t>Small battery</t>
  </si>
  <si>
    <t>Small water bottle</t>
  </si>
  <si>
    <t>Small candy bar</t>
  </si>
  <si>
    <t>Small circuits</t>
  </si>
  <si>
    <t>sink</t>
  </si>
  <si>
    <t>Sink</t>
  </si>
  <si>
    <t>shower</t>
  </si>
  <si>
    <t>Shower</t>
  </si>
  <si>
    <t>sofa</t>
  </si>
  <si>
    <t>Sofa</t>
  </si>
  <si>
    <t>table</t>
  </si>
  <si>
    <t>Table</t>
  </si>
  <si>
    <t>water,hydro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</si>
</sst>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10" borderId="0" xfId="0" applyFill="1" applyAlignment="1">
      <alignment horizontal="center" vertical="center" textRotation="90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 textRotation="90"/>
    </xf>
    <xf numFmtId="0" fontId="0" fillId="9" borderId="0" xfId="0" applyFill="1" applyAlignment="1">
      <alignment horizontal="center" vertical="center" textRotation="90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b/>
        <i val="0"/>
        <strike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R13" sqref="R13"/>
    </sheetView>
  </sheetViews>
  <sheetFormatPr defaultRowHeight="14.4" x14ac:dyDescent="0.3"/>
  <cols>
    <col min="1" max="1" width="1.88671875" customWidth="1"/>
    <col min="2" max="2" width="4.109375" customWidth="1"/>
    <col min="3" max="3" width="13" customWidth="1"/>
    <col min="4" max="4" width="5.21875" customWidth="1"/>
    <col min="5" max="5" width="7" customWidth="1"/>
    <col min="6" max="6" width="20.33203125" customWidth="1"/>
    <col min="7" max="7" width="12.77734375" customWidth="1"/>
    <col min="8" max="15" width="7.109375" customWidth="1"/>
    <col min="16" max="16" width="30.77734375" customWidth="1"/>
    <col min="17" max="17" width="15.21875" customWidth="1"/>
    <col min="18" max="18" width="12.21875" customWidth="1"/>
    <col min="19" max="19" width="15.21875" customWidth="1"/>
    <col min="20" max="20" width="15.33203125" customWidth="1"/>
  </cols>
  <sheetData>
    <row r="1" spans="1:20" x14ac:dyDescent="0.3">
      <c r="H1" s="13" t="s">
        <v>60</v>
      </c>
      <c r="I1" s="13"/>
      <c r="J1" s="13"/>
      <c r="K1" s="13"/>
      <c r="L1" s="13" t="s">
        <v>68</v>
      </c>
      <c r="M1" s="13"/>
      <c r="N1" s="13"/>
      <c r="O1" s="13"/>
      <c r="P1" t="s">
        <v>93</v>
      </c>
      <c r="Q1" t="s">
        <v>69</v>
      </c>
      <c r="R1" t="s">
        <v>78</v>
      </c>
    </row>
    <row r="2" spans="1:20" x14ac:dyDescent="0.3">
      <c r="C2" t="s">
        <v>118</v>
      </c>
      <c r="H2" s="2" t="str">
        <f>LEFT(H3,1)</f>
        <v>e</v>
      </c>
      <c r="I2" s="2" t="str">
        <f t="shared" ref="I2:O2" si="0">LEFT(I3,1)</f>
        <v>w</v>
      </c>
      <c r="J2" s="2" t="str">
        <f t="shared" si="0"/>
        <v>f</v>
      </c>
      <c r="K2" s="2" t="str">
        <f t="shared" si="0"/>
        <v>p</v>
      </c>
      <c r="L2" s="3" t="str">
        <f t="shared" si="0"/>
        <v>a</v>
      </c>
      <c r="M2" s="3" t="str">
        <f t="shared" si="0"/>
        <v>c</v>
      </c>
      <c r="N2" s="3" t="str">
        <f t="shared" si="0"/>
        <v>m</v>
      </c>
      <c r="O2" s="3" t="str">
        <f t="shared" si="0"/>
        <v>s</v>
      </c>
      <c r="S2" t="s">
        <v>70</v>
      </c>
    </row>
    <row r="3" spans="1:20" x14ac:dyDescent="0.3">
      <c r="B3" t="s">
        <v>9</v>
      </c>
      <c r="C3" t="s">
        <v>15</v>
      </c>
      <c r="D3" t="s">
        <v>8</v>
      </c>
      <c r="E3" t="s">
        <v>110</v>
      </c>
      <c r="F3" t="s">
        <v>16</v>
      </c>
      <c r="G3" t="s">
        <v>17</v>
      </c>
      <c r="H3" s="2" t="s">
        <v>2</v>
      </c>
      <c r="I3" s="2" t="s">
        <v>3</v>
      </c>
      <c r="J3" s="2" t="s">
        <v>4</v>
      </c>
      <c r="K3" s="2" t="s">
        <v>7</v>
      </c>
      <c r="L3" s="3" t="s">
        <v>61</v>
      </c>
      <c r="M3" s="3" t="s">
        <v>62</v>
      </c>
      <c r="N3" s="3" t="s">
        <v>63</v>
      </c>
      <c r="O3" s="3" t="s">
        <v>64</v>
      </c>
      <c r="P3" t="s">
        <v>95</v>
      </c>
      <c r="Q3" s="3" t="s">
        <v>125</v>
      </c>
      <c r="R3" s="3" t="s">
        <v>126</v>
      </c>
      <c r="T3" t="str">
        <f>"["&amp;IF(ISNUMBER(C3),C3,IF(C3="",0,CHAR(39)&amp;C3&amp;CHAR(39)))&amp;","&amp;IF(ISNUMBER(D3),D3,IF(D3="",0,CHAR(39)&amp;D3&amp;CHAR(39)))&amp;","&amp;IF(ISNUMBER(E3),E3,IF(E3="",0,CHAR(39)&amp;E3&amp;CHAR(39)))&amp;","&amp;IF(ISNUMBER(F3),F3,IF(F3="",0,CHAR(39)&amp;F3&amp;CHAR(39)))&amp;","&amp;IF(ISNUMBER(G3),G3,IF(G3="",0,CHAR(39)&amp;G3&amp;CHAR(39)))&amp;","&amp;IF(ISNUMBER(H3),H3,IF(H3="",0,CHAR(39)&amp;H3&amp;CHAR(39)))&amp;","&amp;IF(ISNUMBER(I3),I3,IF(I3="",0,CHAR(39)&amp;I3&amp;CHAR(39)))&amp;","&amp;IF(ISNUMBER(J3),J3,IF(J3="",0,CHAR(39)&amp;J3&amp;CHAR(39)))&amp;","&amp;IF(ISNUMBER(K3),K3,IF(K3="",0,CHAR(39)&amp;K3&amp;CHAR(39)))&amp;","&amp;IF(ISNUMBER(L3),L3,IF(L3="",0,CHAR(39)&amp;L3&amp;CHAR(39)))&amp;","&amp;IF(ISNUMBER(M3),M3,IF(M3="",0,CHAR(39)&amp;M3&amp;CHAR(39)))&amp;","&amp;IF(ISNUMBER(N3),N3,IF(N3="",0,CHAR(39)&amp;N3&amp;CHAR(39)))&amp;","&amp;IF(ISNUMBER(O3),O3,IF(O3="",0,CHAR(39)&amp;O3&amp;CHAR(39)))&amp;","&amp;IF(ISNUMBER(P3),P3,IF(P3="",0,CHAR(39)&amp;P3&amp;CHAR(39)))&amp;","&amp;IF(ISNUMBER(Q3),Q3,IF(Q3="",0,CHAR(39)&amp;Q3&amp;CHAR(39)))&amp;","&amp;IF(ISNUMBER(R3),R3,IF(R3="",0,CHAR(39)&amp;R3&amp;CHAR(39)))&amp;"],"</f>
        <v>['terminal','delay','bucket','pretty','action','energy','water','food','parts','antimatter','coolant','minerals','salvage','description','note','prereq'],</v>
      </c>
    </row>
    <row r="4" spans="1:20" x14ac:dyDescent="0.3">
      <c r="A4" s="12" t="s">
        <v>65</v>
      </c>
      <c r="B4">
        <f>SUM(H4:O4)</f>
        <v>50</v>
      </c>
      <c r="C4" s="1" t="s">
        <v>1</v>
      </c>
      <c r="D4">
        <v>15</v>
      </c>
      <c r="E4">
        <v>0</v>
      </c>
      <c r="F4" s="4" t="s">
        <v>18</v>
      </c>
      <c r="G4" t="s">
        <v>38</v>
      </c>
      <c r="H4">
        <v>50</v>
      </c>
      <c r="P4" s="4"/>
      <c r="Q4" s="4" t="s">
        <v>71</v>
      </c>
      <c r="T4" t="str">
        <f t="shared" ref="T4:T42" si="1">"["&amp;IF(ISNUMBER(C4),C4,IF(C4="",0,CHAR(39)&amp;C4&amp;CHAR(39)))&amp;","&amp;IF(ISNUMBER(D4),D4,IF(D4="",0,CHAR(39)&amp;D4&amp;CHAR(39)))&amp;","&amp;IF(ISNUMBER(E4),E4,IF(E4="",0,CHAR(39)&amp;E4&amp;CHAR(39)))&amp;","&amp;IF(ISNUMBER(F4),F4,IF(F4="",0,CHAR(39)&amp;F4&amp;CHAR(39)))&amp;","&amp;IF(ISNUMBER(G4),G4,IF(G4="",0,CHAR(39)&amp;G4&amp;CHAR(39)))&amp;","&amp;IF(ISNUMBER(H4),H4,IF(H4="",0,CHAR(39)&amp;H4&amp;CHAR(39)))&amp;","&amp;IF(ISNUMBER(I4),I4,IF(I4="",0,CHAR(39)&amp;I4&amp;CHAR(39)))&amp;","&amp;IF(ISNUMBER(J4),J4,IF(J4="",0,CHAR(39)&amp;J4&amp;CHAR(39)))&amp;","&amp;IF(ISNUMBER(K4),K4,IF(K4="",0,CHAR(39)&amp;K4&amp;CHAR(39)))&amp;","&amp;IF(ISNUMBER(L4),L4,IF(L4="",0,CHAR(39)&amp;L4&amp;CHAR(39)))&amp;","&amp;IF(ISNUMBER(M4),M4,IF(M4="",0,CHAR(39)&amp;M4&amp;CHAR(39)))&amp;","&amp;IF(ISNUMBER(N4),N4,IF(N4="",0,CHAR(39)&amp;N4&amp;CHAR(39)))&amp;","&amp;IF(ISNUMBER(O4),O4,IF(O4="",0,CHAR(39)&amp;O4&amp;CHAR(39)))&amp;","&amp;IF(ISNUMBER(P4),P4,IF(P4="",0,CHAR(39)&amp;P4&amp;CHAR(39)))&amp;","&amp;IF(ISNUMBER(Q4),Q4,IF(Q4="",0,CHAR(39)&amp;Q4&amp;CHAR(39)))&amp;","&amp;IF(ISNUMBER(R4),R4,IF(R4="",0,CHAR(39)&amp;R4&amp;CHAR(39)))&amp;"],"</f>
        <v>['reactor',15,0,'Reactor','REPAIR',50,0,0,0,0,0,0,0,0,'base',0],</v>
      </c>
    </row>
    <row r="5" spans="1:20" x14ac:dyDescent="0.3">
      <c r="A5" s="12"/>
      <c r="B5">
        <f t="shared" ref="B5:B48" si="2">SUM(H5:O5)</f>
        <v>30</v>
      </c>
      <c r="C5" s="1" t="s">
        <v>53</v>
      </c>
      <c r="D5">
        <v>8</v>
      </c>
      <c r="E5">
        <v>10</v>
      </c>
      <c r="F5" s="5" t="s">
        <v>22</v>
      </c>
      <c r="G5" t="s">
        <v>38</v>
      </c>
      <c r="H5">
        <v>30</v>
      </c>
      <c r="P5" s="5"/>
      <c r="Q5" s="5" t="s">
        <v>72</v>
      </c>
      <c r="R5" t="s">
        <v>1</v>
      </c>
      <c r="T5" t="str">
        <f t="shared" si="1"/>
        <v>['solar',8,10,'Solar Array','REPAIR',30,0,0,0,0,0,0,0,0,'upgrade1','reactor'],</v>
      </c>
    </row>
    <row r="6" spans="1:20" x14ac:dyDescent="0.3">
      <c r="A6" s="12"/>
      <c r="B6">
        <f t="shared" si="2"/>
        <v>40</v>
      </c>
      <c r="C6" s="1" t="s">
        <v>44</v>
      </c>
      <c r="D6">
        <v>12</v>
      </c>
      <c r="E6">
        <v>0</v>
      </c>
      <c r="F6" s="4" t="s">
        <v>56</v>
      </c>
      <c r="G6" t="s">
        <v>38</v>
      </c>
      <c r="I6">
        <v>20</v>
      </c>
      <c r="J6">
        <v>20</v>
      </c>
      <c r="P6" s="4"/>
      <c r="Q6" s="4" t="s">
        <v>71</v>
      </c>
      <c r="T6" t="str">
        <f t="shared" si="1"/>
        <v>['life',12,0,'Life Support','REPAIR',0,20,20,0,0,0,0,0,0,'base',0],</v>
      </c>
    </row>
    <row r="7" spans="1:20" x14ac:dyDescent="0.3">
      <c r="A7" s="12"/>
      <c r="B7">
        <f t="shared" si="2"/>
        <v>30</v>
      </c>
      <c r="C7" s="1" t="s">
        <v>3</v>
      </c>
      <c r="D7">
        <v>6</v>
      </c>
      <c r="E7">
        <v>10</v>
      </c>
      <c r="F7" s="5" t="s">
        <v>59</v>
      </c>
      <c r="G7" t="s">
        <v>38</v>
      </c>
      <c r="I7">
        <v>30</v>
      </c>
      <c r="P7" s="5"/>
      <c r="Q7" s="5" t="s">
        <v>72</v>
      </c>
      <c r="R7" t="s">
        <v>44</v>
      </c>
      <c r="T7" t="str">
        <f t="shared" si="1"/>
        <v>['water',6,10,'Water Recycler','REPAIR',0,30,0,0,0,0,0,0,0,'upgrade1','life'],</v>
      </c>
    </row>
    <row r="8" spans="1:20" x14ac:dyDescent="0.3">
      <c r="A8" s="12"/>
      <c r="B8">
        <f t="shared" si="2"/>
        <v>30</v>
      </c>
      <c r="C8" s="1" t="s">
        <v>41</v>
      </c>
      <c r="D8">
        <v>13</v>
      </c>
      <c r="E8">
        <v>10</v>
      </c>
      <c r="F8" s="5" t="s">
        <v>19</v>
      </c>
      <c r="G8" t="s">
        <v>38</v>
      </c>
      <c r="J8">
        <v>30</v>
      </c>
      <c r="P8" s="5"/>
      <c r="Q8" s="5" t="s">
        <v>72</v>
      </c>
      <c r="R8" t="s">
        <v>44</v>
      </c>
      <c r="T8" t="str">
        <f t="shared" si="1"/>
        <v>['hydro',13,10,'Hydroponics','REPAIR',0,0,30,0,0,0,0,0,0,'upgrade1','life'],</v>
      </c>
    </row>
    <row r="9" spans="1:20" x14ac:dyDescent="0.3">
      <c r="A9" s="12"/>
      <c r="B9">
        <f t="shared" si="2"/>
        <v>20</v>
      </c>
      <c r="C9" s="1" t="s">
        <v>42</v>
      </c>
      <c r="D9">
        <v>4</v>
      </c>
      <c r="E9">
        <v>0</v>
      </c>
      <c r="F9" s="4" t="s">
        <v>24</v>
      </c>
      <c r="G9" t="s">
        <v>38</v>
      </c>
      <c r="K9">
        <v>20</v>
      </c>
      <c r="P9" s="4"/>
      <c r="Q9" s="4" t="s">
        <v>71</v>
      </c>
      <c r="T9" t="str">
        <f t="shared" si="1"/>
        <v>['cargo',4,0,'Cargo bay','REPAIR',0,0,0,20,0,0,0,0,0,'base',0],</v>
      </c>
    </row>
    <row r="10" spans="1:20" x14ac:dyDescent="0.3">
      <c r="A10" s="12"/>
      <c r="B10">
        <f t="shared" si="2"/>
        <v>50</v>
      </c>
      <c r="C10" s="1" t="s">
        <v>5</v>
      </c>
      <c r="D10">
        <v>11</v>
      </c>
      <c r="E10">
        <v>10</v>
      </c>
      <c r="F10" s="5" t="s">
        <v>25</v>
      </c>
      <c r="G10" t="s">
        <v>38</v>
      </c>
      <c r="K10">
        <v>50</v>
      </c>
      <c r="P10" s="5"/>
      <c r="Q10" s="5" t="s">
        <v>72</v>
      </c>
      <c r="R10" t="s">
        <v>42</v>
      </c>
      <c r="T10" t="str">
        <f t="shared" si="1"/>
        <v>['comms',11,10,'Comms array','REPAIR',0,0,0,50,0,0,0,0,0,'upgrade1','cargo'],</v>
      </c>
    </row>
    <row r="11" spans="1:20" x14ac:dyDescent="0.3">
      <c r="A11" s="12"/>
      <c r="B11">
        <f t="shared" si="2"/>
        <v>10</v>
      </c>
      <c r="C11" s="1" t="s">
        <v>55</v>
      </c>
      <c r="D11">
        <v>13</v>
      </c>
      <c r="E11">
        <v>20</v>
      </c>
      <c r="F11" s="6" t="s">
        <v>20</v>
      </c>
      <c r="G11" t="s">
        <v>38</v>
      </c>
      <c r="K11">
        <v>10</v>
      </c>
      <c r="P11" s="6"/>
      <c r="Q11" s="6" t="s">
        <v>73</v>
      </c>
      <c r="R11" t="s">
        <v>5</v>
      </c>
      <c r="T11" t="str">
        <f t="shared" si="1"/>
        <v>['fab',13,20,'Fabricator','REPAIR',0,0,0,10,0,0,0,0,0,'upgrade2','comms'],</v>
      </c>
    </row>
    <row r="12" spans="1:20" x14ac:dyDescent="0.3">
      <c r="A12" s="12"/>
      <c r="B12">
        <f t="shared" si="2"/>
        <v>20</v>
      </c>
      <c r="C12" s="1" t="s">
        <v>43</v>
      </c>
      <c r="D12">
        <v>14</v>
      </c>
      <c r="E12">
        <v>20</v>
      </c>
      <c r="F12" s="6" t="s">
        <v>26</v>
      </c>
      <c r="G12" t="s">
        <v>38</v>
      </c>
      <c r="I12">
        <v>10</v>
      </c>
      <c r="J12">
        <v>10</v>
      </c>
      <c r="P12" s="6"/>
      <c r="Q12" s="6" t="s">
        <v>73</v>
      </c>
      <c r="R12" t="s">
        <v>146</v>
      </c>
      <c r="T12" t="str">
        <f t="shared" si="1"/>
        <v>['med',14,20,'Medical bay','REPAIR',0,10,10,0,0,0,0,0,0,'upgrade2','water,hydro'],</v>
      </c>
    </row>
    <row r="13" spans="1:20" x14ac:dyDescent="0.3">
      <c r="A13" s="12"/>
      <c r="B13">
        <f t="shared" si="2"/>
        <v>15</v>
      </c>
      <c r="C13" s="1" t="s">
        <v>57</v>
      </c>
      <c r="D13">
        <v>20</v>
      </c>
      <c r="E13">
        <v>20</v>
      </c>
      <c r="F13" s="6" t="s">
        <v>58</v>
      </c>
      <c r="G13" t="s">
        <v>38</v>
      </c>
      <c r="H13">
        <v>10</v>
      </c>
      <c r="L13">
        <v>5</v>
      </c>
      <c r="P13" s="6"/>
      <c r="Q13" s="6" t="s">
        <v>73</v>
      </c>
      <c r="R13" t="s">
        <v>53</v>
      </c>
      <c r="T13" t="str">
        <f t="shared" si="1"/>
        <v>['anti',20,20,'Antimatter Chamber','REPAIR',10,0,0,0,5,0,0,0,0,'upgrade2','solar'],</v>
      </c>
    </row>
    <row r="14" spans="1:20" ht="14.55" customHeight="1" x14ac:dyDescent="0.3">
      <c r="A14" s="15" t="s">
        <v>66</v>
      </c>
      <c r="B14">
        <f t="shared" si="2"/>
        <v>0</v>
      </c>
      <c r="C14" s="1" t="s">
        <v>80</v>
      </c>
      <c r="E14">
        <v>30</v>
      </c>
      <c r="F14" s="7" t="s">
        <v>112</v>
      </c>
      <c r="G14" t="s">
        <v>38</v>
      </c>
      <c r="P14" s="7" t="s">
        <v>113</v>
      </c>
      <c r="Q14" s="7" t="s">
        <v>74</v>
      </c>
      <c r="R14" t="s">
        <v>79</v>
      </c>
      <c r="T14" t="str">
        <f t="shared" si="1"/>
        <v>['hazard',0,30,'Space Hazard Unit','REPAIR',0,0,0,0,0,0,0,0,'Allows you to explore space.','upgrade3','fab,med,anti'],</v>
      </c>
    </row>
    <row r="15" spans="1:20" x14ac:dyDescent="0.3">
      <c r="A15" s="15"/>
      <c r="B15">
        <f t="shared" si="2"/>
        <v>0</v>
      </c>
      <c r="C15" s="1" t="s">
        <v>75</v>
      </c>
      <c r="F15" s="8" t="s">
        <v>76</v>
      </c>
      <c r="G15" s="8" t="s">
        <v>77</v>
      </c>
      <c r="P15" s="8" t="s">
        <v>114</v>
      </c>
      <c r="Q15" s="8"/>
      <c r="T15" t="str">
        <f t="shared" si="1"/>
        <v>['obs',0,0,'Observatory','WORLDMAP',0,0,0,0,0,0,0,0,'Lets you peek into the endless void of space.',0,0],</v>
      </c>
    </row>
    <row r="16" spans="1:20" ht="14.55" customHeight="1" x14ac:dyDescent="0.3">
      <c r="A16" s="15"/>
      <c r="B16">
        <f t="shared" si="2"/>
        <v>0</v>
      </c>
      <c r="C16" s="1" t="s">
        <v>46</v>
      </c>
      <c r="F16" s="8" t="s">
        <v>29</v>
      </c>
      <c r="G16" s="8" t="s">
        <v>115</v>
      </c>
      <c r="P16" s="8" t="s">
        <v>127</v>
      </c>
      <c r="Q16" s="8" t="s">
        <v>129</v>
      </c>
      <c r="T16" t="str">
        <f t="shared" si="1"/>
        <v>['shuttle',0,0,'Shuttle bay','TRAVEL',0,0,0,0,0,0,0,0,'Travel to new locations!','req hazard on homebase only',0],</v>
      </c>
    </row>
    <row r="17" spans="1:20" x14ac:dyDescent="0.3">
      <c r="A17" s="15"/>
      <c r="B17">
        <f t="shared" si="2"/>
        <v>0</v>
      </c>
      <c r="C17" s="1" t="s">
        <v>90</v>
      </c>
      <c r="F17" s="8" t="s">
        <v>39</v>
      </c>
      <c r="G17" s="8" t="s">
        <v>116</v>
      </c>
      <c r="P17" s="8" t="s">
        <v>128</v>
      </c>
      <c r="Q17" s="8"/>
      <c r="T17" t="str">
        <f t="shared" si="1"/>
        <v>['upgrade',0,0,'Upgrade center','SEEUPGRADES',0,0,0,0,0,0,0,0,'See available upgrades.',0,0],</v>
      </c>
    </row>
    <row r="18" spans="1:20" x14ac:dyDescent="0.3">
      <c r="A18" s="14" t="s">
        <v>67</v>
      </c>
      <c r="B18">
        <f t="shared" si="2"/>
        <v>15</v>
      </c>
      <c r="C18" s="3" t="s">
        <v>48</v>
      </c>
      <c r="D18">
        <v>5</v>
      </c>
      <c r="E18">
        <v>30</v>
      </c>
      <c r="F18" s="3" t="s">
        <v>30</v>
      </c>
      <c r="G18" t="s">
        <v>36</v>
      </c>
      <c r="N18">
        <v>15</v>
      </c>
      <c r="P18" s="3"/>
      <c r="Q18" s="3"/>
      <c r="T18" t="str">
        <f t="shared" si="1"/>
        <v>['mining',5,30,'Mining station','CAPTURE',0,0,0,0,0,0,15,0,0,0,0],</v>
      </c>
    </row>
    <row r="19" spans="1:20" x14ac:dyDescent="0.3">
      <c r="A19" s="14"/>
      <c r="B19">
        <f t="shared" si="2"/>
        <v>15</v>
      </c>
      <c r="C19" s="3" t="s">
        <v>12</v>
      </c>
      <c r="D19">
        <v>5</v>
      </c>
      <c r="E19">
        <v>30</v>
      </c>
      <c r="F19" s="3" t="s">
        <v>21</v>
      </c>
      <c r="G19" t="s">
        <v>36</v>
      </c>
      <c r="O19">
        <v>15</v>
      </c>
      <c r="P19" s="3"/>
      <c r="Q19" s="3"/>
      <c r="T19" t="str">
        <f t="shared" si="1"/>
        <v>['scrapyard',5,30,'Scrapyard','CAPTURE',0,0,0,0,0,0,0,15,0,0,0],</v>
      </c>
    </row>
    <row r="20" spans="1:20" x14ac:dyDescent="0.3">
      <c r="A20" s="14"/>
      <c r="B20">
        <f t="shared" si="2"/>
        <v>15</v>
      </c>
      <c r="C20" s="3" t="s">
        <v>49</v>
      </c>
      <c r="D20">
        <v>5</v>
      </c>
      <c r="E20">
        <v>30</v>
      </c>
      <c r="F20" s="3" t="s">
        <v>31</v>
      </c>
      <c r="G20" t="s">
        <v>36</v>
      </c>
      <c r="M20">
        <v>5</v>
      </c>
      <c r="N20">
        <v>5</v>
      </c>
      <c r="O20">
        <v>5</v>
      </c>
      <c r="P20" s="3"/>
      <c r="Q20" s="3"/>
      <c r="T20" t="str">
        <f t="shared" si="1"/>
        <v>['data',5,30,'Data vault','CAPTURE',0,0,0,0,0,5,5,5,0,0,0],</v>
      </c>
    </row>
    <row r="21" spans="1:20" x14ac:dyDescent="0.3">
      <c r="A21" s="14"/>
      <c r="B21">
        <f t="shared" si="2"/>
        <v>0</v>
      </c>
      <c r="C21" s="3" t="s">
        <v>50</v>
      </c>
      <c r="D21">
        <v>5</v>
      </c>
      <c r="E21">
        <v>30</v>
      </c>
      <c r="F21" s="3" t="s">
        <v>32</v>
      </c>
      <c r="G21" t="s">
        <v>36</v>
      </c>
      <c r="P21" s="3"/>
      <c r="Q21" s="3"/>
      <c r="T21" t="str">
        <f t="shared" si="1"/>
        <v>['supply',5,30,'Supply depot','CAPTURE',0,0,0,0,0,0,0,0,0,0,0],</v>
      </c>
    </row>
    <row r="22" spans="1:20" x14ac:dyDescent="0.3">
      <c r="A22" s="14"/>
      <c r="B22">
        <f t="shared" si="2"/>
        <v>15</v>
      </c>
      <c r="C22" s="3" t="s">
        <v>51</v>
      </c>
      <c r="D22">
        <v>5</v>
      </c>
      <c r="E22">
        <v>40</v>
      </c>
      <c r="F22" s="3" t="s">
        <v>33</v>
      </c>
      <c r="G22" t="s">
        <v>36</v>
      </c>
      <c r="L22">
        <v>15</v>
      </c>
      <c r="P22" s="3"/>
      <c r="Q22" s="3"/>
      <c r="T22" t="str">
        <f t="shared" si="1"/>
        <v>['fusion',5,40,'Fusion core','CAPTURE',0,0,0,0,15,0,0,0,0,0,0],</v>
      </c>
    </row>
    <row r="23" spans="1:20" x14ac:dyDescent="0.3">
      <c r="A23" s="14"/>
      <c r="B23">
        <f t="shared" si="2"/>
        <v>15</v>
      </c>
      <c r="C23" s="3" t="s">
        <v>11</v>
      </c>
      <c r="D23">
        <v>5</v>
      </c>
      <c r="E23">
        <v>30</v>
      </c>
      <c r="F23" s="3" t="s">
        <v>34</v>
      </c>
      <c r="G23" t="s">
        <v>36</v>
      </c>
      <c r="N23">
        <v>10</v>
      </c>
      <c r="O23">
        <v>5</v>
      </c>
      <c r="P23" s="3"/>
      <c r="Q23" s="3"/>
      <c r="T23" t="str">
        <f t="shared" si="1"/>
        <v>['alloy',5,30,'Alloy plant','CAPTURE',0,0,0,0,0,0,10,5,0,0,0],</v>
      </c>
    </row>
    <row r="24" spans="1:20" x14ac:dyDescent="0.3">
      <c r="A24" s="14"/>
      <c r="B24">
        <f t="shared" si="2"/>
        <v>15</v>
      </c>
      <c r="C24" s="3" t="s">
        <v>52</v>
      </c>
      <c r="D24">
        <v>5</v>
      </c>
      <c r="E24">
        <v>40</v>
      </c>
      <c r="F24" s="3" t="s">
        <v>35</v>
      </c>
      <c r="G24" t="s">
        <v>36</v>
      </c>
      <c r="L24">
        <v>5</v>
      </c>
      <c r="M24">
        <v>5</v>
      </c>
      <c r="O24">
        <v>5</v>
      </c>
      <c r="P24" s="3"/>
      <c r="Q24" s="3"/>
      <c r="T24" t="str">
        <f t="shared" si="1"/>
        <v>['research',5,40,'Research lab','CAPTURE',0,0,0,0,5,5,0,5,0,0,0],</v>
      </c>
    </row>
    <row r="25" spans="1:20" x14ac:dyDescent="0.3">
      <c r="A25" s="14"/>
      <c r="B25">
        <f t="shared" si="2"/>
        <v>120</v>
      </c>
      <c r="C25" s="3" t="s">
        <v>98</v>
      </c>
      <c r="E25">
        <v>20</v>
      </c>
      <c r="F25" s="3" t="s">
        <v>103</v>
      </c>
      <c r="G25" t="s">
        <v>85</v>
      </c>
      <c r="H25">
        <v>120</v>
      </c>
      <c r="P25" s="3"/>
      <c r="Q25" s="3"/>
      <c r="T25" t="str">
        <f t="shared" si="1"/>
        <v>['chestenergy',0,20,'Energy cells','CLAIM',120,0,0,0,0,0,0,0,0,0,0],</v>
      </c>
    </row>
    <row r="26" spans="1:20" x14ac:dyDescent="0.3">
      <c r="A26" s="14"/>
      <c r="B26">
        <f t="shared" si="2"/>
        <v>120</v>
      </c>
      <c r="C26" s="3" t="s">
        <v>99</v>
      </c>
      <c r="E26">
        <v>20</v>
      </c>
      <c r="F26" s="3" t="s">
        <v>104</v>
      </c>
      <c r="G26" t="s">
        <v>85</v>
      </c>
      <c r="I26">
        <v>120</v>
      </c>
      <c r="P26" s="3"/>
      <c r="Q26" s="3"/>
      <c r="T26" t="str">
        <f t="shared" si="1"/>
        <v>['chestwater',0,20,'Ice blocks','CLAIM',0,120,0,0,0,0,0,0,0,0,0],</v>
      </c>
    </row>
    <row r="27" spans="1:20" x14ac:dyDescent="0.3">
      <c r="A27" s="14"/>
      <c r="B27">
        <f t="shared" si="2"/>
        <v>120</v>
      </c>
      <c r="C27" s="3" t="s">
        <v>100</v>
      </c>
      <c r="E27">
        <v>20</v>
      </c>
      <c r="F27" s="3" t="s">
        <v>105</v>
      </c>
      <c r="G27" t="s">
        <v>85</v>
      </c>
      <c r="J27">
        <v>120</v>
      </c>
      <c r="P27" s="3"/>
      <c r="Q27" s="3"/>
      <c r="T27" t="str">
        <f t="shared" si="1"/>
        <v>['chestfood',0,20,'Nutrient packs','CLAIM',0,0,120,0,0,0,0,0,0,0,0],</v>
      </c>
    </row>
    <row r="28" spans="1:20" x14ac:dyDescent="0.3">
      <c r="A28" s="14"/>
      <c r="B28">
        <f t="shared" si="2"/>
        <v>120</v>
      </c>
      <c r="C28" s="3" t="s">
        <v>101</v>
      </c>
      <c r="E28">
        <v>20</v>
      </c>
      <c r="F28" s="3" t="s">
        <v>102</v>
      </c>
      <c r="G28" t="s">
        <v>85</v>
      </c>
      <c r="K28">
        <v>120</v>
      </c>
      <c r="P28" s="3"/>
      <c r="Q28" s="3"/>
      <c r="T28" t="str">
        <f t="shared" si="1"/>
        <v>['chestparts',0,20,'Parts box','CLAIM',0,0,0,120,0,0,0,0,0,0,0],</v>
      </c>
    </row>
    <row r="29" spans="1:20" x14ac:dyDescent="0.3">
      <c r="A29" s="14"/>
      <c r="B29">
        <f t="shared" si="2"/>
        <v>10</v>
      </c>
      <c r="C29" s="3" t="s">
        <v>130</v>
      </c>
      <c r="E29">
        <v>0</v>
      </c>
      <c r="F29" s="3" t="s">
        <v>134</v>
      </c>
      <c r="G29" t="s">
        <v>85</v>
      </c>
      <c r="H29">
        <v>10</v>
      </c>
      <c r="P29" s="3"/>
      <c r="Q29" s="3"/>
      <c r="T29" t="str">
        <f t="shared" si="1"/>
        <v>['smallenergy',0,0,'Small battery','CLAIM',10,0,0,0,0,0,0,0,0,0,0],</v>
      </c>
    </row>
    <row r="30" spans="1:20" x14ac:dyDescent="0.3">
      <c r="A30" s="14"/>
      <c r="B30">
        <f t="shared" si="2"/>
        <v>10</v>
      </c>
      <c r="C30" s="3" t="s">
        <v>131</v>
      </c>
      <c r="E30">
        <v>0</v>
      </c>
      <c r="F30" s="3" t="s">
        <v>135</v>
      </c>
      <c r="G30" t="s">
        <v>85</v>
      </c>
      <c r="I30">
        <v>10</v>
      </c>
      <c r="P30" s="3"/>
      <c r="Q30" s="3"/>
      <c r="T30" t="str">
        <f t="shared" si="1"/>
        <v>['smallwater',0,0,'Small water bottle','CLAIM',0,10,0,0,0,0,0,0,0,0,0],</v>
      </c>
    </row>
    <row r="31" spans="1:20" x14ac:dyDescent="0.3">
      <c r="A31" s="14"/>
      <c r="B31">
        <f t="shared" si="2"/>
        <v>10</v>
      </c>
      <c r="C31" s="3" t="s">
        <v>132</v>
      </c>
      <c r="E31">
        <v>0</v>
      </c>
      <c r="F31" s="3" t="s">
        <v>136</v>
      </c>
      <c r="G31" t="s">
        <v>85</v>
      </c>
      <c r="J31">
        <v>10</v>
      </c>
      <c r="P31" s="3"/>
      <c r="Q31" s="3"/>
      <c r="T31" t="str">
        <f t="shared" si="1"/>
        <v>['smallfood',0,0,'Small candy bar','CLAIM',0,0,10,0,0,0,0,0,0,0,0],</v>
      </c>
    </row>
    <row r="32" spans="1:20" x14ac:dyDescent="0.3">
      <c r="A32" s="14"/>
      <c r="B32">
        <f t="shared" si="2"/>
        <v>10</v>
      </c>
      <c r="C32" s="3" t="s">
        <v>133</v>
      </c>
      <c r="E32">
        <v>0</v>
      </c>
      <c r="F32" s="3" t="s">
        <v>137</v>
      </c>
      <c r="G32" t="s">
        <v>85</v>
      </c>
      <c r="K32">
        <v>10</v>
      </c>
      <c r="P32" s="3"/>
      <c r="Q32" s="3"/>
      <c r="T32" t="str">
        <f t="shared" si="1"/>
        <v>['smallparts',0,0,'Small circuits','CLAIM',0,0,0,10,0,0,0,0,0,0,0],</v>
      </c>
    </row>
    <row r="33" spans="1:20" x14ac:dyDescent="0.3">
      <c r="A33" s="14"/>
      <c r="B33">
        <f t="shared" si="2"/>
        <v>80</v>
      </c>
      <c r="C33" s="3" t="s">
        <v>84</v>
      </c>
      <c r="E33">
        <v>40</v>
      </c>
      <c r="F33" s="3" t="s">
        <v>89</v>
      </c>
      <c r="G33" t="s">
        <v>85</v>
      </c>
      <c r="L33">
        <v>80</v>
      </c>
      <c r="P33" s="3"/>
      <c r="Q33" s="3"/>
      <c r="T33" t="str">
        <f t="shared" si="1"/>
        <v>['chestantimatter',0,40,'Antimatter traces','CLAIM',0,0,0,0,80,0,0,0,0,0,0],</v>
      </c>
    </row>
    <row r="34" spans="1:20" x14ac:dyDescent="0.3">
      <c r="A34" s="14"/>
      <c r="B34">
        <f t="shared" si="2"/>
        <v>80</v>
      </c>
      <c r="C34" s="3" t="s">
        <v>82</v>
      </c>
      <c r="E34">
        <v>40</v>
      </c>
      <c r="F34" s="3" t="s">
        <v>87</v>
      </c>
      <c r="G34" t="s">
        <v>85</v>
      </c>
      <c r="M34">
        <v>80</v>
      </c>
      <c r="P34" s="3"/>
      <c r="Q34" s="3"/>
      <c r="T34" t="str">
        <f t="shared" si="1"/>
        <v>['chestcoolant',0,40,'Coolant remains','CLAIM',0,0,0,0,0,80,0,0,0,0,0],</v>
      </c>
    </row>
    <row r="35" spans="1:20" x14ac:dyDescent="0.3">
      <c r="A35" s="14"/>
      <c r="B35">
        <f t="shared" si="2"/>
        <v>80</v>
      </c>
      <c r="C35" s="3" t="s">
        <v>81</v>
      </c>
      <c r="E35">
        <v>40</v>
      </c>
      <c r="F35" s="3" t="s">
        <v>86</v>
      </c>
      <c r="G35" t="s">
        <v>85</v>
      </c>
      <c r="N35">
        <v>80</v>
      </c>
      <c r="P35" s="3"/>
      <c r="Q35" s="3"/>
      <c r="T35" t="str">
        <f t="shared" si="1"/>
        <v>['chestmineral',0,40,'Mineral residue','CLAIM',0,0,0,0,0,0,80,0,0,0,0],</v>
      </c>
    </row>
    <row r="36" spans="1:20" x14ac:dyDescent="0.3">
      <c r="A36" s="14"/>
      <c r="B36">
        <f t="shared" si="2"/>
        <v>80</v>
      </c>
      <c r="C36" s="3" t="s">
        <v>83</v>
      </c>
      <c r="E36">
        <v>40</v>
      </c>
      <c r="F36" s="3" t="s">
        <v>88</v>
      </c>
      <c r="G36" t="s">
        <v>85</v>
      </c>
      <c r="O36">
        <v>80</v>
      </c>
      <c r="P36" s="3"/>
      <c r="Q36" s="3"/>
      <c r="T36" t="str">
        <f t="shared" si="1"/>
        <v>['chestsalvage',0,40,'Salvage pack','CLAIM',0,0,0,0,0,0,0,80,0,0,0],</v>
      </c>
    </row>
    <row r="37" spans="1:20" x14ac:dyDescent="0.3">
      <c r="A37" s="14"/>
      <c r="B37">
        <f t="shared" si="2"/>
        <v>0</v>
      </c>
      <c r="C37" s="3" t="s">
        <v>120</v>
      </c>
      <c r="E37">
        <v>0</v>
      </c>
      <c r="F37" s="3" t="s">
        <v>91</v>
      </c>
      <c r="G37" t="s">
        <v>106</v>
      </c>
      <c r="P37" s="3"/>
      <c r="Q37" s="3"/>
      <c r="T37" t="str">
        <f t="shared" si="1"/>
        <v>['door_easy',0,0,'Damaged door','HACK',0,0,0,0,0,0,0,0,0,0,0],</v>
      </c>
    </row>
    <row r="38" spans="1:20" x14ac:dyDescent="0.3">
      <c r="A38" s="14"/>
      <c r="B38">
        <f t="shared" si="2"/>
        <v>0</v>
      </c>
      <c r="C38" s="3" t="s">
        <v>121</v>
      </c>
      <c r="E38">
        <v>20</v>
      </c>
      <c r="F38" s="3" t="s">
        <v>92</v>
      </c>
      <c r="G38" t="s">
        <v>106</v>
      </c>
      <c r="P38" s="3"/>
      <c r="Q38" s="3"/>
      <c r="T38" t="str">
        <f t="shared" si="1"/>
        <v>['door_medium',0,20,'Locked door','HACK',0,0,0,0,0,0,0,0,0,0,0],</v>
      </c>
    </row>
    <row r="39" spans="1:20" x14ac:dyDescent="0.3">
      <c r="A39" s="14"/>
      <c r="B39">
        <f t="shared" si="2"/>
        <v>0</v>
      </c>
      <c r="C39" s="3" t="s">
        <v>122</v>
      </c>
      <c r="E39">
        <v>50</v>
      </c>
      <c r="F39" s="3" t="s">
        <v>124</v>
      </c>
      <c r="G39" t="s">
        <v>106</v>
      </c>
      <c r="P39" s="3"/>
      <c r="Q39" s="3"/>
      <c r="T39" t="str">
        <f t="shared" si="1"/>
        <v>['door_hard',0,50,'Reinforced door','HACK',0,0,0,0,0,0,0,0,0,0,0],</v>
      </c>
    </row>
    <row r="40" spans="1:20" x14ac:dyDescent="0.3">
      <c r="A40" s="14"/>
      <c r="B40">
        <f t="shared" si="2"/>
        <v>0</v>
      </c>
      <c r="C40" s="3" t="s">
        <v>123</v>
      </c>
      <c r="E40">
        <v>70</v>
      </c>
      <c r="F40" s="3" t="s">
        <v>111</v>
      </c>
      <c r="P40" s="3"/>
      <c r="Q40" s="3"/>
      <c r="T40" t="str">
        <f t="shared" si="1"/>
        <v>['door_extreme',0,70,'High security door',0,0,0,0,0,0,0,0,0,0,0,0],</v>
      </c>
    </row>
    <row r="41" spans="1:20" x14ac:dyDescent="0.3">
      <c r="A41" s="12" t="s">
        <v>94</v>
      </c>
      <c r="B41">
        <f t="shared" si="2"/>
        <v>0</v>
      </c>
      <c r="C41" s="9" t="s">
        <v>96</v>
      </c>
      <c r="E41">
        <v>10</v>
      </c>
      <c r="F41" s="9" t="s">
        <v>97</v>
      </c>
      <c r="G41" t="s">
        <v>107</v>
      </c>
      <c r="P41" s="9"/>
      <c r="Q41" s="9"/>
      <c r="T41" t="str">
        <f t="shared" si="1"/>
        <v>['plants',0,10,'Plants','RESTORE',0,0,0,0,0,0,0,0,0,0,0],</v>
      </c>
    </row>
    <row r="42" spans="1:20" x14ac:dyDescent="0.3">
      <c r="A42" s="12"/>
      <c r="B42">
        <f t="shared" si="2"/>
        <v>0</v>
      </c>
      <c r="C42" s="9" t="s">
        <v>108</v>
      </c>
      <c r="E42">
        <v>10</v>
      </c>
      <c r="F42" s="9" t="s">
        <v>109</v>
      </c>
      <c r="G42" t="s">
        <v>107</v>
      </c>
      <c r="P42" s="9"/>
      <c r="Q42" s="9"/>
      <c r="T42" t="str">
        <f t="shared" si="1"/>
        <v>['fridge',0,10,'Fridge','RESTORE',0,0,0,0,0,0,0,0,0,0,0],</v>
      </c>
    </row>
    <row r="43" spans="1:20" x14ac:dyDescent="0.3">
      <c r="A43" s="12"/>
      <c r="B43">
        <f t="shared" si="2"/>
        <v>0</v>
      </c>
      <c r="C43" s="9" t="s">
        <v>138</v>
      </c>
      <c r="E43">
        <v>10</v>
      </c>
      <c r="F43" s="9" t="s">
        <v>139</v>
      </c>
      <c r="G43" t="s">
        <v>107</v>
      </c>
      <c r="P43" s="9"/>
      <c r="Q43" s="9"/>
      <c r="T43" t="str">
        <f t="shared" ref="T43:T48" si="3">"["&amp;IF(ISNUMBER(C43),C43,IF(C43="",0,CHAR(39)&amp;C43&amp;CHAR(39)))&amp;","&amp;IF(ISNUMBER(D43),D43,IF(D43="",0,CHAR(39)&amp;D43&amp;CHAR(39)))&amp;","&amp;IF(ISNUMBER(E43),E43,IF(E43="",0,CHAR(39)&amp;E43&amp;CHAR(39)))&amp;","&amp;IF(ISNUMBER(F43),F43,IF(F43="",0,CHAR(39)&amp;F43&amp;CHAR(39)))&amp;","&amp;IF(ISNUMBER(G43),G43,IF(G43="",0,CHAR(39)&amp;G43&amp;CHAR(39)))&amp;","&amp;IF(ISNUMBER(H43),H43,IF(H43="",0,CHAR(39)&amp;H43&amp;CHAR(39)))&amp;","&amp;IF(ISNUMBER(I43),I43,IF(I43="",0,CHAR(39)&amp;I43&amp;CHAR(39)))&amp;","&amp;IF(ISNUMBER(J43),J43,IF(J43="",0,CHAR(39)&amp;J43&amp;CHAR(39)))&amp;","&amp;IF(ISNUMBER(K43),K43,IF(K43="",0,CHAR(39)&amp;K43&amp;CHAR(39)))&amp;","&amp;IF(ISNUMBER(L43),L43,IF(L43="",0,CHAR(39)&amp;L43&amp;CHAR(39)))&amp;","&amp;IF(ISNUMBER(M43),M43,IF(M43="",0,CHAR(39)&amp;M43&amp;CHAR(39)))&amp;","&amp;IF(ISNUMBER(N43),N43,IF(N43="",0,CHAR(39)&amp;N43&amp;CHAR(39)))&amp;","&amp;IF(ISNUMBER(O43),O43,IF(O43="",0,CHAR(39)&amp;O43&amp;CHAR(39)))&amp;","&amp;IF(ISNUMBER(P43),P43,IF(P43="",0,CHAR(39)&amp;P43&amp;CHAR(39)))&amp;"],"</f>
        <v>['sink',0,10,'Sink','RESTORE',0,0,0,0,0,0,0,0,0],</v>
      </c>
    </row>
    <row r="44" spans="1:20" x14ac:dyDescent="0.3">
      <c r="A44" s="12"/>
      <c r="B44">
        <f t="shared" si="2"/>
        <v>0</v>
      </c>
      <c r="C44" s="9" t="s">
        <v>140</v>
      </c>
      <c r="E44">
        <v>10</v>
      </c>
      <c r="F44" s="9" t="s">
        <v>141</v>
      </c>
      <c r="G44" t="s">
        <v>107</v>
      </c>
      <c r="P44" s="9"/>
      <c r="Q44" s="9"/>
      <c r="T44" t="str">
        <f t="shared" si="3"/>
        <v>['shower',0,10,'Shower','RESTORE',0,0,0,0,0,0,0,0,0],</v>
      </c>
    </row>
    <row r="45" spans="1:20" x14ac:dyDescent="0.3">
      <c r="A45" s="12"/>
      <c r="B45">
        <f t="shared" si="2"/>
        <v>0</v>
      </c>
      <c r="C45" s="9" t="s">
        <v>142</v>
      </c>
      <c r="E45">
        <v>10</v>
      </c>
      <c r="F45" s="9" t="s">
        <v>143</v>
      </c>
      <c r="G45" t="s">
        <v>107</v>
      </c>
      <c r="P45" s="9"/>
      <c r="Q45" s="9"/>
      <c r="T45" t="str">
        <f t="shared" si="3"/>
        <v>['sofa',0,10,'Sofa','RESTORE',0,0,0,0,0,0,0,0,0],</v>
      </c>
    </row>
    <row r="46" spans="1:20" x14ac:dyDescent="0.3">
      <c r="A46" s="12"/>
      <c r="B46">
        <f t="shared" si="2"/>
        <v>0</v>
      </c>
      <c r="C46" s="9" t="s">
        <v>144</v>
      </c>
      <c r="E46">
        <v>10</v>
      </c>
      <c r="F46" s="9" t="s">
        <v>145</v>
      </c>
      <c r="G46" t="s">
        <v>107</v>
      </c>
      <c r="P46" s="9"/>
      <c r="Q46" s="9"/>
      <c r="T46" t="str">
        <f t="shared" si="3"/>
        <v>['table',0,10,'Table','RESTORE',0,0,0,0,0,0,0,0,0],</v>
      </c>
    </row>
    <row r="47" spans="1:20" x14ac:dyDescent="0.3">
      <c r="A47" s="12"/>
      <c r="B47">
        <f t="shared" si="2"/>
        <v>0</v>
      </c>
      <c r="C47" s="9"/>
      <c r="F47" s="9"/>
      <c r="G47" t="s">
        <v>107</v>
      </c>
      <c r="P47" s="9"/>
      <c r="Q47" s="9"/>
      <c r="T47" t="str">
        <f t="shared" si="3"/>
        <v>[0,0,0,0,'RESTORE',0,0,0,0,0,0,0,0,0],</v>
      </c>
    </row>
    <row r="48" spans="1:20" x14ac:dyDescent="0.3">
      <c r="A48" s="12"/>
      <c r="B48">
        <f t="shared" si="2"/>
        <v>0</v>
      </c>
      <c r="C48" s="9"/>
      <c r="F48" s="9"/>
      <c r="G48" t="s">
        <v>107</v>
      </c>
      <c r="P48" s="9"/>
      <c r="Q48" s="9"/>
      <c r="T48" t="str">
        <f t="shared" si="3"/>
        <v>[0,0,0,0,'RESTORE',0,0,0,0,0,0,0,0,0],</v>
      </c>
    </row>
  </sheetData>
  <mergeCells count="6">
    <mergeCell ref="A41:A48"/>
    <mergeCell ref="H1:K1"/>
    <mergeCell ref="A4:A13"/>
    <mergeCell ref="A18:A40"/>
    <mergeCell ref="L1:O1"/>
    <mergeCell ref="A14:A17"/>
  </mergeCells>
  <conditionalFormatting sqref="C1:C1048576">
    <cfRule type="duplicateValues" dxfId="11" priority="1"/>
  </conditionalFormatting>
  <conditionalFormatting sqref="C41:C1048576 C1:C17">
    <cfRule type="duplicateValues" dxfId="10" priority="16"/>
  </conditionalFormatting>
  <conditionalFormatting sqref="D2:O2 T2:U2">
    <cfRule type="duplicateValues" dxfId="9" priority="15"/>
  </conditionalFormatting>
  <conditionalFormatting sqref="E4:E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1:F48">
    <cfRule type="duplicateValues" dxfId="8" priority="3"/>
  </conditionalFormatting>
  <conditionalFormatting sqref="P2">
    <cfRule type="duplicateValues" dxfId="7" priority="7"/>
  </conditionalFormatting>
  <conditionalFormatting sqref="P3">
    <cfRule type="duplicateValues" dxfId="6" priority="5"/>
  </conditionalFormatting>
  <conditionalFormatting sqref="P41:Q48">
    <cfRule type="duplicateValues" dxfId="5" priority="4"/>
  </conditionalFormatting>
  <conditionalFormatting sqref="Q3:R3">
    <cfRule type="duplicateValues" dxfId="4" priority="9"/>
  </conditionalFormatting>
  <conditionalFormatting sqref="Q2:S2">
    <cfRule type="duplicateValues" dxfId="3" priority="1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2" sqref="A2"/>
    </sheetView>
  </sheetViews>
  <sheetFormatPr defaultColWidth="97.44140625" defaultRowHeight="57" customHeight="1" x14ac:dyDescent="0.3"/>
  <cols>
    <col min="1" max="16384" width="97.44140625" style="10"/>
  </cols>
  <sheetData>
    <row r="1" spans="1:1" ht="57" customHeight="1" x14ac:dyDescent="0.3">
      <c r="A1" s="11" t="s">
        <v>117</v>
      </c>
    </row>
    <row r="2" spans="1:1" ht="57" customHeight="1" x14ac:dyDescent="0.3">
      <c r="A2" s="10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Z31"/>
  <sheetViews>
    <sheetView workbookViewId="0">
      <selection activeCell="N8" sqref="N8"/>
    </sheetView>
  </sheetViews>
  <sheetFormatPr defaultRowHeight="14.4" x14ac:dyDescent="0.3"/>
  <cols>
    <col min="4" max="4" width="13" customWidth="1"/>
    <col min="5" max="6" width="7.33203125" customWidth="1"/>
    <col min="7" max="7" width="14.33203125" customWidth="1"/>
    <col min="8" max="8" width="11.5546875" customWidth="1"/>
  </cols>
  <sheetData>
    <row r="2" spans="2:26" x14ac:dyDescent="0.3">
      <c r="D2" t="s">
        <v>0</v>
      </c>
      <c r="I2" t="str">
        <f>LEFT(I3,1)</f>
        <v>e</v>
      </c>
      <c r="J2" t="str">
        <f t="shared" ref="J2:Z2" si="0">LEFT(J3,1)</f>
        <v>f</v>
      </c>
      <c r="K2" t="str">
        <f t="shared" si="0"/>
        <v>w</v>
      </c>
      <c r="L2" t="str">
        <f t="shared" si="0"/>
        <v>p</v>
      </c>
      <c r="M2" t="str">
        <f t="shared" si="0"/>
        <v>m</v>
      </c>
      <c r="N2" t="str">
        <f t="shared" si="0"/>
        <v>t</v>
      </c>
      <c r="O2" t="str">
        <f t="shared" si="0"/>
        <v>a</v>
      </c>
      <c r="P2" t="s">
        <v>14</v>
      </c>
      <c r="R2" t="str">
        <f t="shared" si="0"/>
        <v/>
      </c>
      <c r="S2" t="str">
        <f t="shared" si="0"/>
        <v/>
      </c>
      <c r="T2" t="str">
        <f t="shared" si="0"/>
        <v/>
      </c>
      <c r="U2" t="str">
        <f t="shared" si="0"/>
        <v/>
      </c>
      <c r="V2" t="str">
        <f t="shared" si="0"/>
        <v/>
      </c>
      <c r="W2" t="str">
        <f t="shared" si="0"/>
        <v/>
      </c>
      <c r="X2" t="str">
        <f t="shared" si="0"/>
        <v/>
      </c>
      <c r="Y2" t="str">
        <f t="shared" si="0"/>
        <v/>
      </c>
      <c r="Z2" t="str">
        <f t="shared" si="0"/>
        <v/>
      </c>
    </row>
    <row r="3" spans="2:26" x14ac:dyDescent="0.3">
      <c r="B3" t="s">
        <v>9</v>
      </c>
      <c r="C3" t="s">
        <v>0</v>
      </c>
      <c r="D3" t="s">
        <v>15</v>
      </c>
      <c r="E3" t="s">
        <v>8</v>
      </c>
      <c r="F3" t="s">
        <v>6</v>
      </c>
      <c r="G3" t="s">
        <v>16</v>
      </c>
      <c r="H3" t="s">
        <v>17</v>
      </c>
      <c r="I3" t="s">
        <v>2</v>
      </c>
      <c r="J3" t="s">
        <v>4</v>
      </c>
      <c r="K3" t="s">
        <v>3</v>
      </c>
      <c r="L3" t="s">
        <v>7</v>
      </c>
      <c r="M3" t="s">
        <v>13</v>
      </c>
      <c r="N3" t="s">
        <v>10</v>
      </c>
      <c r="O3" t="s">
        <v>11</v>
      </c>
      <c r="P3" t="str" cm="1">
        <f t="array" ref="P3">"["&amp;_xlfn.TEXTJOIN(",",FALSE,IF(ISTEXT(D3:O3),""""&amp;D3:O3&amp;"""",IF(D3:O3="",0,D3:O3)))&amp;"],"</f>
        <v>["terminal","delay","question","pretty","action","energy","food","water","parts","metals","titanium","alloy"],</v>
      </c>
    </row>
    <row r="4" spans="2:26" x14ac:dyDescent="0.3">
      <c r="B4">
        <f>SUM(E4:AA4)</f>
        <v>55</v>
      </c>
      <c r="C4" t="str">
        <f>LEFT(D4,1)</f>
        <v>r</v>
      </c>
      <c r="D4" s="1" t="s">
        <v>1</v>
      </c>
      <c r="E4">
        <v>15</v>
      </c>
      <c r="F4">
        <v>0</v>
      </c>
      <c r="G4" t="s">
        <v>18</v>
      </c>
      <c r="H4" t="s">
        <v>38</v>
      </c>
      <c r="I4">
        <v>40</v>
      </c>
      <c r="P4" t="str" cm="1">
        <f t="array" ref="P4">"["&amp;_xlfn.TEXTJOIN(",",FALSE,IF(ISTEXT(D4:O4),""""&amp;D4:O4&amp;"""",IF(D4:O4="",0,D4:O4)))&amp;"],"</f>
        <v>["reactor",15,0,"Reactor","REPAIR",40,0,0,0,0,0,0],</v>
      </c>
    </row>
    <row r="5" spans="2:26" x14ac:dyDescent="0.3">
      <c r="B5">
        <f t="shared" ref="B5:B31" si="1">SUM(E5:AA5)</f>
        <v>55</v>
      </c>
      <c r="C5" t="str">
        <f t="shared" ref="C5:C31" si="2">LEFT(D5,1)</f>
        <v>s</v>
      </c>
      <c r="D5" s="1" t="s">
        <v>53</v>
      </c>
      <c r="E5">
        <v>20</v>
      </c>
      <c r="F5">
        <v>10</v>
      </c>
      <c r="G5" t="s">
        <v>22</v>
      </c>
      <c r="H5" t="s">
        <v>38</v>
      </c>
      <c r="I5">
        <v>25</v>
      </c>
      <c r="P5" t="str" cm="1">
        <f t="array" ref="P5">"["&amp;_xlfn.TEXTJOIN(",",FALSE,IF(ISTEXT(D5:O5),""""&amp;D5:O5&amp;"""",IF(D5:O5="",0,D5:O5)))&amp;"],"</f>
        <v>["solar",20,10,"Solar Array","REPAIR",25,0,0,0,0,0,0],</v>
      </c>
      <c r="S5" t="str">
        <f>" * @property {number} "&amp;D5</f>
        <v xml:space="preserve"> * @property {number} solar</v>
      </c>
    </row>
    <row r="6" spans="2:26" x14ac:dyDescent="0.3">
      <c r="B6">
        <f t="shared" si="1"/>
        <v>57</v>
      </c>
      <c r="C6" t="str">
        <f t="shared" si="2"/>
        <v>h</v>
      </c>
      <c r="D6" s="1" t="s">
        <v>41</v>
      </c>
      <c r="E6">
        <v>12</v>
      </c>
      <c r="F6">
        <v>20</v>
      </c>
      <c r="G6" t="s">
        <v>19</v>
      </c>
      <c r="H6" t="s">
        <v>38</v>
      </c>
      <c r="J6">
        <v>15</v>
      </c>
      <c r="K6">
        <v>10</v>
      </c>
      <c r="P6" t="str" cm="1">
        <f t="array" ref="P6">"["&amp;_xlfn.TEXTJOIN(",",FALSE,IF(ISTEXT(D6:O6),""""&amp;D6:O6&amp;"""",IF(D6:O6="",0,D6:O6)))&amp;"],"</f>
        <v>["hydro",12,20,"Hydroponics","REPAIR",0,15,10,0,0,0,0],</v>
      </c>
      <c r="S6" t="str">
        <f t="shared" ref="S6:S23" si="3">" * @property {number} "&amp;D6</f>
        <v xml:space="preserve"> * @property {number} hydro</v>
      </c>
    </row>
    <row r="7" spans="2:26" x14ac:dyDescent="0.3">
      <c r="B7">
        <f t="shared" si="1"/>
        <v>55</v>
      </c>
      <c r="C7" t="str">
        <f t="shared" si="2"/>
        <v>w</v>
      </c>
      <c r="D7" s="1" t="s">
        <v>3</v>
      </c>
      <c r="E7">
        <v>10</v>
      </c>
      <c r="F7">
        <v>20</v>
      </c>
      <c r="G7" t="s">
        <v>23</v>
      </c>
      <c r="H7" t="s">
        <v>38</v>
      </c>
      <c r="K7">
        <v>25</v>
      </c>
      <c r="P7" t="str" cm="1">
        <f t="array" ref="P7">"["&amp;_xlfn.TEXTJOIN(",",FALSE,IF(ISTEXT(D7:O7),""""&amp;D7:O7&amp;"""",IF(D7:O7="",0,D7:O7)))&amp;"],"</f>
        <v>["water",10,20,"Water recycler","REPAIR",0,0,25,0,0,0,0],</v>
      </c>
      <c r="S7" t="str">
        <f t="shared" si="3"/>
        <v xml:space="preserve"> * @property {number} water</v>
      </c>
    </row>
    <row r="8" spans="2:26" x14ac:dyDescent="0.3">
      <c r="B8">
        <f t="shared" si="1"/>
        <v>48</v>
      </c>
      <c r="C8" t="str">
        <f t="shared" si="2"/>
        <v>c</v>
      </c>
      <c r="D8" s="1" t="s">
        <v>42</v>
      </c>
      <c r="E8">
        <v>8</v>
      </c>
      <c r="F8">
        <v>20</v>
      </c>
      <c r="G8" t="s">
        <v>24</v>
      </c>
      <c r="H8" t="s">
        <v>38</v>
      </c>
      <c r="J8">
        <v>10</v>
      </c>
      <c r="L8">
        <v>10</v>
      </c>
      <c r="P8" t="str" cm="1">
        <f t="array" ref="P8">"["&amp;_xlfn.TEXTJOIN(",",FALSE,IF(ISTEXT(D8:O8),""""&amp;D8:O8&amp;"""",IF(D8:O8="",0,D8:O8)))&amp;"],"</f>
        <v>["cargo",8,20,"Cargo bay","REPAIR",0,10,0,10,0,0,0],</v>
      </c>
      <c r="S8" t="str">
        <f t="shared" si="3"/>
        <v xml:space="preserve"> * @property {number} cargo</v>
      </c>
    </row>
    <row r="9" spans="2:26" x14ac:dyDescent="0.3">
      <c r="B9">
        <f t="shared" si="1"/>
        <v>92</v>
      </c>
      <c r="C9" t="str">
        <f t="shared" si="2"/>
        <v>c</v>
      </c>
      <c r="D9" s="1" t="s">
        <v>5</v>
      </c>
      <c r="E9">
        <v>12</v>
      </c>
      <c r="F9">
        <v>50</v>
      </c>
      <c r="G9" t="s">
        <v>25</v>
      </c>
      <c r="H9" t="s">
        <v>38</v>
      </c>
      <c r="L9">
        <v>30</v>
      </c>
      <c r="P9" t="str" cm="1">
        <f t="array" ref="P9">"["&amp;_xlfn.TEXTJOIN(",",FALSE,IF(ISTEXT(D9:O9),""""&amp;D9:O9&amp;"""",IF(D9:O9="",0,D9:O9)))&amp;"],"</f>
        <v>["comms",12,50,"Comms array","REPAIR",0,0,0,30,0,0,0],</v>
      </c>
      <c r="S9" t="str">
        <f t="shared" si="3"/>
        <v xml:space="preserve"> * @property {number} comms</v>
      </c>
    </row>
    <row r="10" spans="2:26" x14ac:dyDescent="0.3">
      <c r="B10">
        <f t="shared" si="1"/>
        <v>95</v>
      </c>
      <c r="C10" t="str">
        <f t="shared" si="2"/>
        <v>f</v>
      </c>
      <c r="D10" s="1" t="s">
        <v>55</v>
      </c>
      <c r="E10">
        <v>10</v>
      </c>
      <c r="F10">
        <v>60</v>
      </c>
      <c r="G10" t="s">
        <v>20</v>
      </c>
      <c r="H10" t="s">
        <v>38</v>
      </c>
      <c r="K10">
        <v>20</v>
      </c>
      <c r="L10">
        <v>5</v>
      </c>
      <c r="P10" t="str" cm="1">
        <f t="array" ref="P10">"["&amp;_xlfn.TEXTJOIN(",",FALSE,IF(ISTEXT(D10:O10),""""&amp;D10:O10&amp;"""",IF(D10:O10="",0,D10:O10)))&amp;"],"</f>
        <v>["fab",10,60,"Fabricator","REPAIR",0,0,20,5,0,0,0],</v>
      </c>
      <c r="S10" t="str">
        <f t="shared" si="3"/>
        <v xml:space="preserve"> * @property {number} fab</v>
      </c>
    </row>
    <row r="11" spans="2:26" x14ac:dyDescent="0.3">
      <c r="B11">
        <f t="shared" si="1"/>
        <v>50</v>
      </c>
      <c r="C11" t="str">
        <f t="shared" si="2"/>
        <v>m</v>
      </c>
      <c r="D11" s="1" t="s">
        <v>43</v>
      </c>
      <c r="E11">
        <v>10</v>
      </c>
      <c r="F11">
        <v>30</v>
      </c>
      <c r="G11" t="s">
        <v>26</v>
      </c>
      <c r="H11" t="s">
        <v>38</v>
      </c>
      <c r="L11">
        <v>10</v>
      </c>
      <c r="P11" t="str" cm="1">
        <f t="array" ref="P11">"["&amp;_xlfn.TEXTJOIN(",",FALSE,IF(ISTEXT(D11:O11),""""&amp;D11:O11&amp;"""",IF(D11:O11="",0,D11:O11)))&amp;"],"</f>
        <v>["med",10,30,"Medical bay","REPAIR",0,0,0,10,0,0,0],</v>
      </c>
      <c r="S11" t="str">
        <f t="shared" si="3"/>
        <v xml:space="preserve"> * @property {number} med</v>
      </c>
    </row>
    <row r="12" spans="2:26" x14ac:dyDescent="0.3">
      <c r="B12">
        <f t="shared" si="1"/>
        <v>55</v>
      </c>
      <c r="C12" t="str">
        <f t="shared" si="2"/>
        <v>l</v>
      </c>
      <c r="D12" s="1" t="s">
        <v>44</v>
      </c>
      <c r="E12">
        <v>20</v>
      </c>
      <c r="F12">
        <v>10</v>
      </c>
      <c r="G12" t="s">
        <v>27</v>
      </c>
      <c r="H12" t="s">
        <v>38</v>
      </c>
      <c r="J12">
        <v>10</v>
      </c>
      <c r="K12">
        <v>15</v>
      </c>
      <c r="P12" t="str" cm="1">
        <f t="array" ref="P12">"["&amp;_xlfn.TEXTJOIN(",",FALSE,IF(ISTEXT(D12:O12),""""&amp;D12:O12&amp;"""",IF(D12:O12="",0,D12:O12)))&amp;"],"</f>
        <v>["life",20,10,"Life support","REPAIR",0,10,15,0,0,0,0],</v>
      </c>
      <c r="S12" t="str">
        <f t="shared" si="3"/>
        <v xml:space="preserve"> * @property {number} life</v>
      </c>
    </row>
    <row r="13" spans="2:26" x14ac:dyDescent="0.3">
      <c r="B13">
        <f t="shared" si="1"/>
        <v>87</v>
      </c>
      <c r="C13" t="str">
        <f t="shared" si="2"/>
        <v>m</v>
      </c>
      <c r="D13" s="1" t="s">
        <v>45</v>
      </c>
      <c r="E13">
        <v>12</v>
      </c>
      <c r="F13">
        <v>50</v>
      </c>
      <c r="G13" t="s">
        <v>28</v>
      </c>
      <c r="H13" t="s">
        <v>38</v>
      </c>
      <c r="K13">
        <v>25</v>
      </c>
      <c r="P13" t="str" cm="1">
        <f t="array" ref="P13">"["&amp;_xlfn.TEXTJOIN(",",FALSE,IF(ISTEXT(D13:O13),""""&amp;D13:O13&amp;"""",IF(D13:O13="",0,D13:O13)))&amp;"],"</f>
        <v>["machine",12,50,"Machine shop","REPAIR",0,0,25,0,0,0,0],</v>
      </c>
      <c r="S13" t="str">
        <f t="shared" si="3"/>
        <v xml:space="preserve"> * @property {number} machine</v>
      </c>
    </row>
    <row r="14" spans="2:26" x14ac:dyDescent="0.3">
      <c r="C14" t="str">
        <f t="shared" si="2"/>
        <v>s</v>
      </c>
      <c r="D14" s="1" t="s">
        <v>46</v>
      </c>
      <c r="G14" t="s">
        <v>29</v>
      </c>
      <c r="H14" t="s">
        <v>37</v>
      </c>
      <c r="P14" t="str" cm="1">
        <f t="array" ref="P14">"["&amp;_xlfn.TEXTJOIN(",",FALSE,IF(ISTEXT(D14:O14),""""&amp;D14:O14&amp;"""",IF(D14:O14="",0,D14:O14)))&amp;"],"</f>
        <v>["shuttle",0,0,"Shuttle bay","USE",0,0,0,0,0,0,0],</v>
      </c>
      <c r="S14" t="str">
        <f t="shared" si="3"/>
        <v xml:space="preserve"> * @property {number} shuttle</v>
      </c>
    </row>
    <row r="15" spans="2:26" x14ac:dyDescent="0.3">
      <c r="C15" t="str">
        <f t="shared" si="2"/>
        <v>a</v>
      </c>
      <c r="D15" s="1" t="s">
        <v>54</v>
      </c>
      <c r="G15" t="s">
        <v>39</v>
      </c>
      <c r="H15" t="s">
        <v>37</v>
      </c>
      <c r="P15" t="str" cm="1">
        <f t="array" ref="P15">"["&amp;_xlfn.TEXTJOIN(",",FALSE,IF(ISTEXT(D15:O15),""""&amp;D15:O15&amp;"""",IF(D15:O15="",0,D15:O15)))&amp;"],"</f>
        <v>["access",0,0,"Upgrade center","USE",0,0,0,0,0,0,0],</v>
      </c>
      <c r="S15" t="str">
        <f t="shared" si="3"/>
        <v xml:space="preserve"> * @property {number} access</v>
      </c>
    </row>
    <row r="16" spans="2:26" x14ac:dyDescent="0.3">
      <c r="C16" t="str">
        <f t="shared" si="2"/>
        <v>d</v>
      </c>
      <c r="D16" s="1" t="s">
        <v>47</v>
      </c>
      <c r="G16" t="s">
        <v>40</v>
      </c>
      <c r="H16" t="s">
        <v>37</v>
      </c>
      <c r="P16" t="str" cm="1">
        <f t="array" ref="P16">"["&amp;_xlfn.TEXTJOIN(",",FALSE,IF(ISTEXT(D16:O16),""""&amp;D16:O16&amp;"""",IF(D16:O16="",0,D16:O16)))&amp;"],"</f>
        <v>["door",0,0,"ACCESS KEY NEEDED","USE",0,0,0,0,0,0,0],</v>
      </c>
      <c r="S16" t="str">
        <f t="shared" si="3"/>
        <v xml:space="preserve"> * @property {number} door</v>
      </c>
    </row>
    <row r="17" spans="2:19" x14ac:dyDescent="0.3">
      <c r="B17">
        <f t="shared" si="1"/>
        <v>100</v>
      </c>
      <c r="C17" t="str">
        <f t="shared" si="2"/>
        <v>m</v>
      </c>
      <c r="D17" s="1" t="s">
        <v>48</v>
      </c>
      <c r="E17">
        <v>15</v>
      </c>
      <c r="F17">
        <v>60</v>
      </c>
      <c r="G17" t="s">
        <v>30</v>
      </c>
      <c r="H17" t="s">
        <v>36</v>
      </c>
      <c r="I17">
        <v>10</v>
      </c>
      <c r="M17">
        <v>10</v>
      </c>
      <c r="N17">
        <v>5</v>
      </c>
      <c r="P17" t="str" cm="1">
        <f t="array" ref="P17">"["&amp;_xlfn.TEXTJOIN(",",FALSE,IF(ISTEXT(D17:O17),""""&amp;D17:O17&amp;"""",IF(D17:O17="",0,D17:O17)))&amp;"],"</f>
        <v>["mining",15,60,"Mining station","CAPTURE",10,0,0,0,10,5,0],</v>
      </c>
      <c r="S17" t="str">
        <f t="shared" si="3"/>
        <v xml:space="preserve"> * @property {number} mining</v>
      </c>
    </row>
    <row r="18" spans="2:19" x14ac:dyDescent="0.3">
      <c r="B18">
        <f t="shared" si="1"/>
        <v>75</v>
      </c>
      <c r="C18" t="str">
        <f t="shared" si="2"/>
        <v>s</v>
      </c>
      <c r="D18" s="1" t="s">
        <v>12</v>
      </c>
      <c r="E18">
        <v>10</v>
      </c>
      <c r="F18">
        <v>40</v>
      </c>
      <c r="G18" t="s">
        <v>21</v>
      </c>
      <c r="H18" t="s">
        <v>36</v>
      </c>
      <c r="L18">
        <v>15</v>
      </c>
      <c r="N18">
        <v>10</v>
      </c>
      <c r="P18" t="str" cm="1">
        <f t="array" ref="P18">"["&amp;_xlfn.TEXTJOIN(",",FALSE,IF(ISTEXT(D18:O18),""""&amp;D18:O18&amp;"""",IF(D18:O18="",0,D18:O18)))&amp;"],"</f>
        <v>["scrapyard",10,40,"Scrapyard","CAPTURE",0,0,0,15,0,10,0],</v>
      </c>
      <c r="S18" t="str">
        <f t="shared" si="3"/>
        <v xml:space="preserve"> * @property {number} scrapyard</v>
      </c>
    </row>
    <row r="19" spans="2:19" x14ac:dyDescent="0.3">
      <c r="B19">
        <f t="shared" si="1"/>
        <v>127</v>
      </c>
      <c r="C19" t="str">
        <f t="shared" si="2"/>
        <v>d</v>
      </c>
      <c r="D19" s="1" t="s">
        <v>49</v>
      </c>
      <c r="E19">
        <v>12</v>
      </c>
      <c r="F19">
        <v>70</v>
      </c>
      <c r="G19" t="s">
        <v>31</v>
      </c>
      <c r="H19" t="s">
        <v>36</v>
      </c>
      <c r="L19">
        <v>30</v>
      </c>
      <c r="M19">
        <v>5</v>
      </c>
      <c r="N19">
        <v>5</v>
      </c>
      <c r="O19">
        <v>5</v>
      </c>
      <c r="P19" t="str" cm="1">
        <f t="array" ref="P19">"["&amp;_xlfn.TEXTJOIN(",",FALSE,IF(ISTEXT(D19:O19),""""&amp;D19:O19&amp;"""",IF(D19:O19="",0,D19:O19)))&amp;"],"</f>
        <v>["data",12,70,"Data vault","CAPTURE",0,0,0,30,5,5,5],</v>
      </c>
      <c r="S19" t="str">
        <f t="shared" si="3"/>
        <v xml:space="preserve"> * @property {number} data</v>
      </c>
    </row>
    <row r="20" spans="2:19" x14ac:dyDescent="0.3">
      <c r="B20">
        <f t="shared" si="1"/>
        <v>125</v>
      </c>
      <c r="C20" t="str">
        <f t="shared" si="2"/>
        <v>s</v>
      </c>
      <c r="D20" s="1" t="s">
        <v>50</v>
      </c>
      <c r="E20">
        <v>15</v>
      </c>
      <c r="F20">
        <v>80</v>
      </c>
      <c r="G20" t="s">
        <v>32</v>
      </c>
      <c r="H20" t="s">
        <v>36</v>
      </c>
      <c r="K20">
        <v>15</v>
      </c>
      <c r="M20">
        <v>10</v>
      </c>
      <c r="O20">
        <v>5</v>
      </c>
      <c r="P20" t="str" cm="1">
        <f t="array" ref="P20">"["&amp;_xlfn.TEXTJOIN(",",FALSE,IF(ISTEXT(D20:O20),""""&amp;D20:O20&amp;"""",IF(D20:O20="",0,D20:O20)))&amp;"],"</f>
        <v>["supply",15,80,"Supply depot","CAPTURE",0,0,15,0,10,0,5],</v>
      </c>
      <c r="S20" t="str">
        <f t="shared" si="3"/>
        <v xml:space="preserve"> * @property {number} supply</v>
      </c>
    </row>
    <row r="21" spans="2:19" x14ac:dyDescent="0.3">
      <c r="B21">
        <f t="shared" si="1"/>
        <v>140</v>
      </c>
      <c r="C21" t="str">
        <f t="shared" si="2"/>
        <v>f</v>
      </c>
      <c r="D21" s="1" t="s">
        <v>51</v>
      </c>
      <c r="E21">
        <v>10</v>
      </c>
      <c r="F21">
        <v>90</v>
      </c>
      <c r="G21" t="s">
        <v>33</v>
      </c>
      <c r="H21" t="s">
        <v>36</v>
      </c>
      <c r="I21">
        <v>20</v>
      </c>
      <c r="N21">
        <v>10</v>
      </c>
      <c r="O21">
        <v>10</v>
      </c>
      <c r="P21" t="str" cm="1">
        <f t="array" ref="P21">"["&amp;_xlfn.TEXTJOIN(",",FALSE,IF(ISTEXT(D21:O21),""""&amp;D21:O21&amp;"""",IF(D21:O21="",0,D21:O21)))&amp;"],"</f>
        <v>["fusion",10,90,"Fusion core","CAPTURE",20,0,0,0,0,10,10],</v>
      </c>
      <c r="S21" t="str">
        <f t="shared" si="3"/>
        <v xml:space="preserve"> * @property {number} fusion</v>
      </c>
    </row>
    <row r="22" spans="2:19" x14ac:dyDescent="0.3">
      <c r="B22">
        <f t="shared" si="1"/>
        <v>170</v>
      </c>
      <c r="C22" t="str">
        <f t="shared" si="2"/>
        <v>a</v>
      </c>
      <c r="D22" s="1" t="s">
        <v>11</v>
      </c>
      <c r="E22">
        <v>20</v>
      </c>
      <c r="F22">
        <v>100</v>
      </c>
      <c r="G22" t="s">
        <v>34</v>
      </c>
      <c r="H22" t="s">
        <v>36</v>
      </c>
      <c r="I22">
        <v>30</v>
      </c>
      <c r="M22">
        <v>20</v>
      </c>
      <c r="P22" t="str" cm="1">
        <f t="array" ref="P22">"["&amp;_xlfn.TEXTJOIN(",",FALSE,IF(ISTEXT(D22:O22),""""&amp;D22:O22&amp;"""",IF(D22:O22="",0,D22:O22)))&amp;"],"</f>
        <v>["alloy",20,100,"Alloy plant","CAPTURE",30,0,0,0,20,0,0],</v>
      </c>
      <c r="S22" t="str">
        <f t="shared" si="3"/>
        <v xml:space="preserve"> * @property {number} alloy</v>
      </c>
    </row>
    <row r="23" spans="2:19" x14ac:dyDescent="0.3">
      <c r="B23">
        <f t="shared" si="1"/>
        <v>127</v>
      </c>
      <c r="C23" t="str">
        <f t="shared" si="2"/>
        <v>r</v>
      </c>
      <c r="D23" s="1" t="s">
        <v>52</v>
      </c>
      <c r="E23">
        <v>12</v>
      </c>
      <c r="F23">
        <v>85</v>
      </c>
      <c r="G23" t="s">
        <v>35</v>
      </c>
      <c r="H23" t="s">
        <v>36</v>
      </c>
      <c r="I23">
        <v>10</v>
      </c>
      <c r="N23">
        <v>15</v>
      </c>
      <c r="O23">
        <v>5</v>
      </c>
      <c r="P23" t="str" cm="1">
        <f t="array" ref="P23">"["&amp;_xlfn.TEXTJOIN(",",FALSE,IF(ISTEXT(D23:O23),""""&amp;D23:O23&amp;"""",IF(D23:O23="",0,D23:O23)))&amp;"],"</f>
        <v>["research",12,85,"Research lab","CAPTURE",10,0,0,0,0,15,5],</v>
      </c>
      <c r="S23" t="str">
        <f t="shared" si="3"/>
        <v xml:space="preserve"> * @property {number} research</v>
      </c>
    </row>
    <row r="24" spans="2:19" x14ac:dyDescent="0.3">
      <c r="B24">
        <f t="shared" si="1"/>
        <v>0</v>
      </c>
      <c r="C24" t="str">
        <f t="shared" si="2"/>
        <v/>
      </c>
    </row>
    <row r="25" spans="2:19" x14ac:dyDescent="0.3">
      <c r="B25">
        <f t="shared" si="1"/>
        <v>0</v>
      </c>
      <c r="C25" t="str">
        <f t="shared" si="2"/>
        <v/>
      </c>
    </row>
    <row r="26" spans="2:19" x14ac:dyDescent="0.3">
      <c r="B26">
        <f t="shared" si="1"/>
        <v>0</v>
      </c>
      <c r="C26" t="str">
        <f t="shared" si="2"/>
        <v/>
      </c>
    </row>
    <row r="27" spans="2:19" x14ac:dyDescent="0.3">
      <c r="B27">
        <f t="shared" si="1"/>
        <v>0</v>
      </c>
      <c r="C27" t="str">
        <f t="shared" si="2"/>
        <v/>
      </c>
    </row>
    <row r="28" spans="2:19" x14ac:dyDescent="0.3">
      <c r="B28">
        <f t="shared" si="1"/>
        <v>0</v>
      </c>
      <c r="C28" t="str">
        <f t="shared" si="2"/>
        <v/>
      </c>
    </row>
    <row r="29" spans="2:19" x14ac:dyDescent="0.3">
      <c r="B29">
        <f t="shared" si="1"/>
        <v>0</v>
      </c>
      <c r="C29" t="str">
        <f t="shared" si="2"/>
        <v/>
      </c>
    </row>
    <row r="30" spans="2:19" x14ac:dyDescent="0.3">
      <c r="B30">
        <f t="shared" si="1"/>
        <v>0</v>
      </c>
      <c r="C30" t="str">
        <f t="shared" si="2"/>
        <v/>
      </c>
    </row>
    <row r="31" spans="2:19" x14ac:dyDescent="0.3">
      <c r="B31">
        <f t="shared" si="1"/>
        <v>0</v>
      </c>
      <c r="C31" t="str">
        <f t="shared" si="2"/>
        <v/>
      </c>
    </row>
  </sheetData>
  <conditionalFormatting sqref="C4:C31">
    <cfRule type="duplicateValues" dxfId="2" priority="4"/>
  </conditionalFormatting>
  <conditionalFormatting sqref="D1:D1048576">
    <cfRule type="duplicateValues" dxfId="1" priority="1"/>
  </conditionalFormatting>
  <conditionalFormatting sqref="E2:AB2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sheetwithani</vt:lpstr>
      <vt:lpstr>conventions</vt:lpstr>
      <vt:lpstr>bad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István Zsombó</dc:creator>
  <cp:lastModifiedBy>Istvan Zsombo</cp:lastModifiedBy>
  <dcterms:created xsi:type="dcterms:W3CDTF">2015-06-05T18:17:20Z</dcterms:created>
  <dcterms:modified xsi:type="dcterms:W3CDTF">2026-05-12T11:03:22Z</dcterms:modified>
</cp:coreProperties>
</file>